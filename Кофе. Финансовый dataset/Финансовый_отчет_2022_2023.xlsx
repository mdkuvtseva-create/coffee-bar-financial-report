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Диана\Desktop\Проекты\"/>
    </mc:Choice>
  </mc:AlternateContent>
  <xr:revisionPtr revIDLastSave="0" documentId="13_ncr:1_{61182E1E-0000-449B-A26C-9ABFC3FB57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Основной счет" sheetId="1" r:id="rId1"/>
    <sheet name="Расчеты_основной" sheetId="6" r:id="rId2"/>
    <sheet name="Расчеты_второй" sheetId="7" r:id="rId3"/>
    <sheet name="Рассчеты_зп" sheetId="9" r:id="rId4"/>
    <sheet name="Расчеты_кредитка" sheetId="8" r:id="rId5"/>
    <sheet name="Второй счет" sheetId="2" r:id="rId6"/>
    <sheet name="Зарплаты" sheetId="4" r:id="rId7"/>
    <sheet name="Кредитная карта" sheetId="3" r:id="rId8"/>
    <sheet name="Статистика" sheetId="5" r:id="rId9"/>
  </sheets>
  <definedNames>
    <definedName name="Данные_Основной" localSheetId="0">'Основной счет'!$1:$1048576</definedName>
  </definedNames>
  <calcPr calcId="181029"/>
</workbook>
</file>

<file path=xl/calcChain.xml><?xml version="1.0" encoding="utf-8"?>
<calcChain xmlns="http://schemas.openxmlformats.org/spreadsheetml/2006/main">
  <c r="B52" i="6" l="1"/>
  <c r="B53" i="6" s="1"/>
  <c r="H53" i="6"/>
  <c r="B51" i="6"/>
  <c r="B50" i="6"/>
  <c r="G53" i="6"/>
  <c r="B21" i="8"/>
  <c r="E25" i="7"/>
  <c r="E26" i="7"/>
  <c r="E27" i="7"/>
  <c r="E28" i="7"/>
  <c r="E29" i="7"/>
  <c r="E30" i="7"/>
  <c r="F30" i="7" s="1"/>
  <c r="E31" i="7"/>
  <c r="F31" i="7" s="1"/>
  <c r="E32" i="7"/>
  <c r="F32" i="7" s="1"/>
  <c r="E33" i="7"/>
  <c r="G33" i="7" s="1"/>
  <c r="E34" i="7"/>
  <c r="G34" i="7" s="1"/>
  <c r="E35" i="7"/>
  <c r="G35" i="7" s="1"/>
  <c r="E24" i="7"/>
  <c r="F24" i="7" s="1"/>
  <c r="E12" i="7"/>
  <c r="E13" i="7"/>
  <c r="E14" i="7"/>
  <c r="E15" i="7"/>
  <c r="E16" i="7"/>
  <c r="E17" i="7"/>
  <c r="E18" i="7"/>
  <c r="F18" i="7" s="1"/>
  <c r="E19" i="7"/>
  <c r="F19" i="7" s="1"/>
  <c r="E20" i="7"/>
  <c r="G20" i="7" s="1"/>
  <c r="E21" i="7"/>
  <c r="F21" i="7" s="1"/>
  <c r="E22" i="7"/>
  <c r="G22" i="7" s="1"/>
  <c r="E11" i="7"/>
  <c r="G11" i="7" s="1"/>
  <c r="D48" i="6"/>
  <c r="C48" i="6"/>
  <c r="B48" i="6"/>
  <c r="D47" i="6"/>
  <c r="C47" i="6"/>
  <c r="B47" i="6"/>
  <c r="D46" i="6"/>
  <c r="C46" i="6"/>
  <c r="B46" i="6"/>
  <c r="D45" i="6"/>
  <c r="C45" i="6"/>
  <c r="B45" i="6"/>
  <c r="G35" i="6"/>
  <c r="G36" i="6"/>
  <c r="G37" i="6"/>
  <c r="G38" i="6"/>
  <c r="G39" i="6"/>
  <c r="G40" i="6"/>
  <c r="G41" i="6"/>
  <c r="G42" i="6"/>
  <c r="F31" i="6"/>
  <c r="G31" i="6" s="1"/>
  <c r="F32" i="6"/>
  <c r="G32" i="6" s="1"/>
  <c r="F33" i="6"/>
  <c r="G33" i="6" s="1"/>
  <c r="F34" i="6"/>
  <c r="G34" i="6" s="1"/>
  <c r="F35" i="6"/>
  <c r="F36" i="6"/>
  <c r="F37" i="6"/>
  <c r="F38" i="6"/>
  <c r="F39" i="6"/>
  <c r="F40" i="6"/>
  <c r="F41" i="6"/>
  <c r="F42" i="6"/>
  <c r="E31" i="6"/>
  <c r="E32" i="6"/>
  <c r="E33" i="6"/>
  <c r="E34" i="6"/>
  <c r="E35" i="6"/>
  <c r="E36" i="6"/>
  <c r="E37" i="6"/>
  <c r="E38" i="6"/>
  <c r="E39" i="6"/>
  <c r="E40" i="6"/>
  <c r="E41" i="6"/>
  <c r="E42" i="6"/>
  <c r="D31" i="6"/>
  <c r="D32" i="6"/>
  <c r="D33" i="6"/>
  <c r="D34" i="6"/>
  <c r="D35" i="6"/>
  <c r="D36" i="6"/>
  <c r="D37" i="6"/>
  <c r="D38" i="6"/>
  <c r="D39" i="6"/>
  <c r="D40" i="6"/>
  <c r="D41" i="6"/>
  <c r="D42" i="6"/>
  <c r="G25" i="6"/>
  <c r="G26" i="6"/>
  <c r="G27" i="6"/>
  <c r="G28" i="6"/>
  <c r="G29" i="6"/>
  <c r="G18" i="6"/>
  <c r="F20" i="6"/>
  <c r="G20" i="6" s="1"/>
  <c r="F21" i="6"/>
  <c r="G21" i="6" s="1"/>
  <c r="F22" i="6"/>
  <c r="G22" i="6" s="1"/>
  <c r="F23" i="6"/>
  <c r="G23" i="6" s="1"/>
  <c r="F24" i="6"/>
  <c r="G24" i="6" s="1"/>
  <c r="F25" i="6"/>
  <c r="F26" i="6"/>
  <c r="F27" i="6"/>
  <c r="F28" i="6"/>
  <c r="F29" i="6"/>
  <c r="E20" i="6"/>
  <c r="E21" i="6"/>
  <c r="E22" i="6"/>
  <c r="E23" i="6"/>
  <c r="E24" i="6"/>
  <c r="E25" i="6"/>
  <c r="E26" i="6"/>
  <c r="E27" i="6"/>
  <c r="E28" i="6"/>
  <c r="E29" i="6"/>
  <c r="D20" i="6"/>
  <c r="D21" i="6"/>
  <c r="D22" i="6"/>
  <c r="D23" i="6"/>
  <c r="D24" i="6"/>
  <c r="D25" i="6"/>
  <c r="D26" i="6"/>
  <c r="D27" i="6"/>
  <c r="D28" i="6"/>
  <c r="D29" i="6"/>
  <c r="F18" i="6"/>
  <c r="E18" i="6"/>
  <c r="D18" i="6"/>
  <c r="F19" i="6"/>
  <c r="G19" i="6" s="1"/>
  <c r="E19" i="6"/>
  <c r="D19" i="6"/>
  <c r="C33" i="6"/>
  <c r="C34" i="6" s="1"/>
  <c r="C35" i="6" s="1"/>
  <c r="C36" i="6" s="1"/>
  <c r="C37" i="6" s="1"/>
  <c r="C38" i="6" s="1"/>
  <c r="C39" i="6" s="1"/>
  <c r="C40" i="6" s="1"/>
  <c r="C41" i="6" s="1"/>
  <c r="C42" i="6" s="1"/>
  <c r="C32" i="6"/>
  <c r="C20" i="6"/>
  <c r="C21" i="6"/>
  <c r="C22" i="6"/>
  <c r="C23" i="6"/>
  <c r="C24" i="6"/>
  <c r="C25" i="6"/>
  <c r="C26" i="6"/>
  <c r="C27" i="6"/>
  <c r="C28" i="6"/>
  <c r="C29" i="6"/>
  <c r="C19" i="6"/>
  <c r="C15" i="6"/>
  <c r="C11" i="6"/>
  <c r="C12" i="6"/>
  <c r="C13" i="6"/>
  <c r="C14" i="6"/>
  <c r="B14" i="6"/>
  <c r="B13" i="6"/>
  <c r="B12" i="6"/>
  <c r="B11" i="6"/>
  <c r="B15" i="6" s="1"/>
  <c r="B6" i="6"/>
  <c r="B5" i="6"/>
  <c r="B3" i="6"/>
  <c r="B8" i="6" s="1"/>
  <c r="B2" i="6"/>
  <c r="B7" i="6" s="1"/>
  <c r="D40" i="7"/>
  <c r="C40" i="7"/>
  <c r="B40" i="7"/>
  <c r="D39" i="7"/>
  <c r="C39" i="7"/>
  <c r="B39" i="7"/>
  <c r="D38" i="7"/>
  <c r="C38" i="7"/>
  <c r="B38" i="7"/>
  <c r="G25" i="7"/>
  <c r="G26" i="7"/>
  <c r="G27" i="7"/>
  <c r="G28" i="7"/>
  <c r="G29" i="7"/>
  <c r="F25" i="7"/>
  <c r="F26" i="7"/>
  <c r="F27" i="7"/>
  <c r="F28" i="7"/>
  <c r="F29" i="7"/>
  <c r="D24" i="7"/>
  <c r="D25" i="7"/>
  <c r="D26" i="7"/>
  <c r="D27" i="7"/>
  <c r="D28" i="7"/>
  <c r="D29" i="7"/>
  <c r="D30" i="7"/>
  <c r="D31" i="7"/>
  <c r="D32" i="7"/>
  <c r="D33" i="7"/>
  <c r="D34" i="7"/>
  <c r="D35" i="7"/>
  <c r="D22" i="7"/>
  <c r="G13" i="7"/>
  <c r="G14" i="7"/>
  <c r="G15" i="7"/>
  <c r="G16" i="7"/>
  <c r="G17" i="7"/>
  <c r="G18" i="7"/>
  <c r="G19" i="7"/>
  <c r="G12" i="7"/>
  <c r="F12" i="7"/>
  <c r="F13" i="7"/>
  <c r="F14" i="7"/>
  <c r="F15" i="7"/>
  <c r="F16" i="7"/>
  <c r="F17" i="7"/>
  <c r="D13" i="7"/>
  <c r="D14" i="7"/>
  <c r="D15" i="7"/>
  <c r="D16" i="7"/>
  <c r="D17" i="7"/>
  <c r="D18" i="7"/>
  <c r="D19" i="7"/>
  <c r="D20" i="7"/>
  <c r="D21" i="7"/>
  <c r="D11" i="7"/>
  <c r="D12" i="7"/>
  <c r="C26" i="7"/>
  <c r="C27" i="7"/>
  <c r="C28" i="7"/>
  <c r="C29" i="7"/>
  <c r="C30" i="7" s="1"/>
  <c r="C31" i="7" s="1"/>
  <c r="C32" i="7" s="1"/>
  <c r="C33" i="7" s="1"/>
  <c r="C34" i="7" s="1"/>
  <c r="C35" i="7" s="1"/>
  <c r="C25" i="7"/>
  <c r="C13" i="7"/>
  <c r="C14" i="7"/>
  <c r="C15" i="7" s="1"/>
  <c r="C16" i="7" s="1"/>
  <c r="C17" i="7" s="1"/>
  <c r="C18" i="7" s="1"/>
  <c r="C19" i="7" s="1"/>
  <c r="C20" i="7" s="1"/>
  <c r="C21" i="7" s="1"/>
  <c r="C22" i="7" s="1"/>
  <c r="C12" i="7"/>
  <c r="B8" i="7"/>
  <c r="B7" i="7"/>
  <c r="B6" i="7"/>
  <c r="B5" i="7"/>
  <c r="B4" i="7"/>
  <c r="B3" i="7"/>
  <c r="B2" i="7"/>
  <c r="F57" i="9"/>
  <c r="F58" i="9"/>
  <c r="F59" i="9"/>
  <c r="E58" i="9"/>
  <c r="E59" i="9"/>
  <c r="D59" i="9"/>
  <c r="C59" i="9"/>
  <c r="D58" i="9"/>
  <c r="C58" i="9"/>
  <c r="E57" i="9"/>
  <c r="D57" i="9"/>
  <c r="C57" i="9"/>
  <c r="F56" i="9"/>
  <c r="E56" i="9"/>
  <c r="D56" i="9"/>
  <c r="C56" i="9"/>
  <c r="D53" i="9"/>
  <c r="C53" i="9"/>
  <c r="B53" i="9"/>
  <c r="D52" i="9"/>
  <c r="C52" i="9"/>
  <c r="B52" i="9"/>
  <c r="D51" i="9"/>
  <c r="C51" i="9"/>
  <c r="B51" i="9"/>
  <c r="D48" i="9"/>
  <c r="D47" i="9"/>
  <c r="D46" i="9"/>
  <c r="C48" i="9"/>
  <c r="B48" i="9"/>
  <c r="C47" i="9"/>
  <c r="B47" i="9"/>
  <c r="C46" i="9"/>
  <c r="B46" i="9"/>
  <c r="D45" i="9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G27" i="9"/>
  <c r="G28" i="9"/>
  <c r="G29" i="9"/>
  <c r="G30" i="9"/>
  <c r="G31" i="9"/>
  <c r="G32" i="9"/>
  <c r="G33" i="9"/>
  <c r="G34" i="9"/>
  <c r="G35" i="9"/>
  <c r="G36" i="9"/>
  <c r="G37" i="9"/>
  <c r="G26" i="9"/>
  <c r="G14" i="9"/>
  <c r="F27" i="9"/>
  <c r="F28" i="9"/>
  <c r="F29" i="9"/>
  <c r="F30" i="9"/>
  <c r="F31" i="9"/>
  <c r="F32" i="9"/>
  <c r="F33" i="9"/>
  <c r="F34" i="9"/>
  <c r="F35" i="9"/>
  <c r="F36" i="9"/>
  <c r="F37" i="9"/>
  <c r="F26" i="9"/>
  <c r="E37" i="9"/>
  <c r="E27" i="9"/>
  <c r="E28" i="9"/>
  <c r="E29" i="9"/>
  <c r="E30" i="9"/>
  <c r="E31" i="9"/>
  <c r="E32" i="9"/>
  <c r="E33" i="9"/>
  <c r="E34" i="9"/>
  <c r="E35" i="9"/>
  <c r="E36" i="9"/>
  <c r="E26" i="9"/>
  <c r="E14" i="9"/>
  <c r="D26" i="9"/>
  <c r="D13" i="9"/>
  <c r="F13" i="9" s="1"/>
  <c r="G13" i="9" s="1"/>
  <c r="C27" i="9"/>
  <c r="D27" i="9" s="1"/>
  <c r="E13" i="9"/>
  <c r="C14" i="9"/>
  <c r="C15" i="9" s="1"/>
  <c r="B7" i="9"/>
  <c r="B6" i="9"/>
  <c r="B4" i="9"/>
  <c r="B10" i="9" s="1"/>
  <c r="B3" i="9"/>
  <c r="B9" i="9" s="1"/>
  <c r="B2" i="9"/>
  <c r="B5" i="9"/>
  <c r="B22" i="8"/>
  <c r="B23" i="8"/>
  <c r="B19" i="8"/>
  <c r="B20" i="8"/>
  <c r="B18" i="8"/>
  <c r="B17" i="8"/>
  <c r="B16" i="8"/>
  <c r="B15" i="8"/>
  <c r="B13" i="8"/>
  <c r="B12" i="8"/>
  <c r="B11" i="8"/>
  <c r="B10" i="8"/>
  <c r="B8" i="8"/>
  <c r="B7" i="8"/>
  <c r="B6" i="8"/>
  <c r="B3" i="8"/>
  <c r="B5" i="8"/>
  <c r="B4" i="8"/>
  <c r="B2" i="8"/>
  <c r="B1" i="8"/>
  <c r="G32" i="7" l="1"/>
  <c r="F34" i="7"/>
  <c r="G31" i="7"/>
  <c r="F33" i="7"/>
  <c r="G30" i="7"/>
  <c r="G24" i="7"/>
  <c r="G21" i="7"/>
  <c r="F20" i="7"/>
  <c r="F11" i="7"/>
  <c r="B4" i="6"/>
  <c r="F35" i="7"/>
  <c r="F22" i="7"/>
  <c r="C28" i="9"/>
  <c r="B8" i="9"/>
  <c r="C16" i="9"/>
  <c r="D15" i="9"/>
  <c r="E15" i="9"/>
  <c r="D14" i="9"/>
  <c r="F14" i="9" s="1"/>
  <c r="D28" i="9" l="1"/>
  <c r="C29" i="9"/>
  <c r="F15" i="9"/>
  <c r="G15" i="9"/>
  <c r="C17" i="9"/>
  <c r="D16" i="9"/>
  <c r="E16" i="9"/>
  <c r="D29" i="9" l="1"/>
  <c r="C30" i="9"/>
  <c r="F16" i="9"/>
  <c r="G16" i="9" s="1"/>
  <c r="D17" i="9"/>
  <c r="C18" i="9"/>
  <c r="E17" i="9"/>
  <c r="C31" i="9" l="1"/>
  <c r="D30" i="9"/>
  <c r="F17" i="9"/>
  <c r="G17" i="9"/>
  <c r="E18" i="9"/>
  <c r="D18" i="9"/>
  <c r="C19" i="9"/>
  <c r="F18" i="9" l="1"/>
  <c r="D31" i="9"/>
  <c r="C32" i="9"/>
  <c r="C20" i="9"/>
  <c r="E19" i="9"/>
  <c r="D19" i="9"/>
  <c r="G18" i="9"/>
  <c r="F19" i="9" l="1"/>
  <c r="C33" i="9"/>
  <c r="D32" i="9"/>
  <c r="G19" i="9"/>
  <c r="C21" i="9"/>
  <c r="D20" i="9"/>
  <c r="E20" i="9"/>
  <c r="C34" i="9" l="1"/>
  <c r="D33" i="9"/>
  <c r="F20" i="9"/>
  <c r="G20" i="9"/>
  <c r="C22" i="9"/>
  <c r="E21" i="9"/>
  <c r="D21" i="9"/>
  <c r="F21" i="9" s="1"/>
  <c r="C35" i="9" l="1"/>
  <c r="D34" i="9"/>
  <c r="G21" i="9"/>
  <c r="C23" i="9"/>
  <c r="E22" i="9"/>
  <c r="D22" i="9"/>
  <c r="F22" i="9" l="1"/>
  <c r="C36" i="9"/>
  <c r="D35" i="9"/>
  <c r="G22" i="9"/>
  <c r="C24" i="9"/>
  <c r="E23" i="9"/>
  <c r="D23" i="9"/>
  <c r="F23" i="9" s="1"/>
  <c r="C37" i="9" l="1"/>
  <c r="D37" i="9" s="1"/>
  <c r="D36" i="9"/>
  <c r="G23" i="9"/>
  <c r="E24" i="9"/>
  <c r="D24" i="9"/>
  <c r="F24" i="9" l="1"/>
  <c r="G24" i="9" s="1"/>
</calcChain>
</file>

<file path=xl/sharedStrings.xml><?xml version="1.0" encoding="utf-8"?>
<sst xmlns="http://schemas.openxmlformats.org/spreadsheetml/2006/main" count="8535" uniqueCount="1995">
  <si>
    <t>date</t>
  </si>
  <si>
    <t>transaction_id</t>
  </si>
  <si>
    <t>description</t>
  </si>
  <si>
    <t>category</t>
  </si>
  <si>
    <t>type</t>
  </si>
  <si>
    <t>amount</t>
  </si>
  <si>
    <t>balance</t>
  </si>
  <si>
    <t>year</t>
  </si>
  <si>
    <t>month</t>
  </si>
  <si>
    <t>month_name</t>
  </si>
  <si>
    <t>quarter</t>
  </si>
  <si>
    <t>day_of_week</t>
  </si>
  <si>
    <t>day_of_week_num</t>
  </si>
  <si>
    <t>is_income</t>
  </si>
  <si>
    <t>is_expense</t>
  </si>
  <si>
    <t>calculated_balance</t>
  </si>
  <si>
    <t>2022-01-01</t>
  </si>
  <si>
    <t>TX00001</t>
  </si>
  <si>
    <t>Daily Sales Deposit</t>
  </si>
  <si>
    <t>Sales Revenue</t>
  </si>
  <si>
    <t>Credit</t>
  </si>
  <si>
    <t>January</t>
  </si>
  <si>
    <t>Saturday</t>
  </si>
  <si>
    <t>2022-01-02</t>
  </si>
  <si>
    <t>TX00002</t>
  </si>
  <si>
    <t>Sunday</t>
  </si>
  <si>
    <t>2022-01-03</t>
  </si>
  <si>
    <t>TX00003</t>
  </si>
  <si>
    <t>Monday</t>
  </si>
  <si>
    <t>2022-01-04</t>
  </si>
  <si>
    <t>TX00004</t>
  </si>
  <si>
    <t>Tuesday</t>
  </si>
  <si>
    <t>TX00005</t>
  </si>
  <si>
    <t>Utility Bill Payment</t>
  </si>
  <si>
    <t>Operating Expense</t>
  </si>
  <si>
    <t>Debit</t>
  </si>
  <si>
    <t>2022-01-05</t>
  </si>
  <si>
    <t>TX00006</t>
  </si>
  <si>
    <t>Wednesday</t>
  </si>
  <si>
    <t>2022-01-06</t>
  </si>
  <si>
    <t>TX00007</t>
  </si>
  <si>
    <t>Thursday</t>
  </si>
  <si>
    <t>2022-01-07</t>
  </si>
  <si>
    <t>TX00008</t>
  </si>
  <si>
    <t>Friday</t>
  </si>
  <si>
    <t>TX00009</t>
  </si>
  <si>
    <t>Rent Payment</t>
  </si>
  <si>
    <t>2022-01-08</t>
  </si>
  <si>
    <t>TX00010</t>
  </si>
  <si>
    <t>2022-01-09</t>
  </si>
  <si>
    <t>TX00011</t>
  </si>
  <si>
    <t>2022-01-10</t>
  </si>
  <si>
    <t>TX00012</t>
  </si>
  <si>
    <t>2022-01-11</t>
  </si>
  <si>
    <t>TX00014</t>
  </si>
  <si>
    <t>Bakery Payment</t>
  </si>
  <si>
    <t>COGS</t>
  </si>
  <si>
    <t>TX00013</t>
  </si>
  <si>
    <t>2022-01-12</t>
  </si>
  <si>
    <t>TX00015</t>
  </si>
  <si>
    <t>2022-01-13</t>
  </si>
  <si>
    <t>TX00016</t>
  </si>
  <si>
    <t>TX00017</t>
  </si>
  <si>
    <t>2022-01-14</t>
  </si>
  <si>
    <t>TX00018</t>
  </si>
  <si>
    <t>2022-01-15</t>
  </si>
  <si>
    <t>TX00019</t>
  </si>
  <si>
    <t>2022-01-16</t>
  </si>
  <si>
    <t>TX00020</t>
  </si>
  <si>
    <t>2022-01-17</t>
  </si>
  <si>
    <t>TX00021</t>
  </si>
  <si>
    <t>2022-01-18</t>
  </si>
  <si>
    <t>TX00022</t>
  </si>
  <si>
    <t>2022-01-19</t>
  </si>
  <si>
    <t>TX00023</t>
  </si>
  <si>
    <t>2022-01-20</t>
  </si>
  <si>
    <t>TX00024</t>
  </si>
  <si>
    <t>TX00025</t>
  </si>
  <si>
    <t>2022-01-21</t>
  </si>
  <si>
    <t>TX00026</t>
  </si>
  <si>
    <t>2022-01-22</t>
  </si>
  <si>
    <t>TX00027</t>
  </si>
  <si>
    <t>2022-01-23</t>
  </si>
  <si>
    <t>TX00028</t>
  </si>
  <si>
    <t>TX00029</t>
  </si>
  <si>
    <t>2022-01-24</t>
  </si>
  <si>
    <t>TX00030</t>
  </si>
  <si>
    <t>TX00031</t>
  </si>
  <si>
    <t>Coffee Supplier Payment</t>
  </si>
  <si>
    <t>2022-01-25</t>
  </si>
  <si>
    <t>TX00032</t>
  </si>
  <si>
    <t>2022-01-26</t>
  </si>
  <si>
    <t>TX00033</t>
  </si>
  <si>
    <t>TX00034</t>
  </si>
  <si>
    <t>2022-01-27</t>
  </si>
  <si>
    <t>TX00035</t>
  </si>
  <si>
    <t>2022-01-28</t>
  </si>
  <si>
    <t>TX00036</t>
  </si>
  <si>
    <t>2022-01-29</t>
  </si>
  <si>
    <t>TX00037</t>
  </si>
  <si>
    <t>2022-01-30</t>
  </si>
  <si>
    <t>TX00038</t>
  </si>
  <si>
    <t>TX00039</t>
  </si>
  <si>
    <t>2022-01-31</t>
  </si>
  <si>
    <t>TX00040</t>
  </si>
  <si>
    <t>2022-02-01</t>
  </si>
  <si>
    <t>TX00041</t>
  </si>
  <si>
    <t>February</t>
  </si>
  <si>
    <t>2022-02-02</t>
  </si>
  <si>
    <t>TX00042</t>
  </si>
  <si>
    <t>2022-02-03</t>
  </si>
  <si>
    <t>TX00043</t>
  </si>
  <si>
    <t>2022-02-04</t>
  </si>
  <si>
    <t>TX00044</t>
  </si>
  <si>
    <t>2022-02-05</t>
  </si>
  <si>
    <t>TX00045</t>
  </si>
  <si>
    <t>2022-02-06</t>
  </si>
  <si>
    <t>TX00046</t>
  </si>
  <si>
    <t>TX00047</t>
  </si>
  <si>
    <t>2022-02-07</t>
  </si>
  <si>
    <t>TX00048</t>
  </si>
  <si>
    <t>2022-02-08</t>
  </si>
  <si>
    <t>TX00049</t>
  </si>
  <si>
    <t>TX00050</t>
  </si>
  <si>
    <t>2022-02-09</t>
  </si>
  <si>
    <t>TX00051</t>
  </si>
  <si>
    <t>2022-02-10</t>
  </si>
  <si>
    <t>TX00052</t>
  </si>
  <si>
    <t>2022-02-11</t>
  </si>
  <si>
    <t>TX00053</t>
  </si>
  <si>
    <t>2022-02-12</t>
  </si>
  <si>
    <t>TX00054</t>
  </si>
  <si>
    <t>2022-02-13</t>
  </si>
  <si>
    <t>TX00055</t>
  </si>
  <si>
    <t>2022-02-14</t>
  </si>
  <si>
    <t>TX00056</t>
  </si>
  <si>
    <t>TX00057</t>
  </si>
  <si>
    <t>Maintenance Payment</t>
  </si>
  <si>
    <t>2022-02-15</t>
  </si>
  <si>
    <t>TX00058</t>
  </si>
  <si>
    <t>2022-02-16</t>
  </si>
  <si>
    <t>TX00059</t>
  </si>
  <si>
    <t>2022-02-17</t>
  </si>
  <si>
    <t>TX00060</t>
  </si>
  <si>
    <t>2022-02-18</t>
  </si>
  <si>
    <t>TX00061</t>
  </si>
  <si>
    <t>2022-02-19</t>
  </si>
  <si>
    <t>TX00062</t>
  </si>
  <si>
    <t>2022-02-20</t>
  </si>
  <si>
    <t>TX00063</t>
  </si>
  <si>
    <t>2022-02-21</t>
  </si>
  <si>
    <t>TX00064</t>
  </si>
  <si>
    <t>2022-02-22</t>
  </si>
  <si>
    <t>TX00065</t>
  </si>
  <si>
    <t>TX00066</t>
  </si>
  <si>
    <t>2022-02-23</t>
  </si>
  <si>
    <t>TX00068</t>
  </si>
  <si>
    <t>TX00067</t>
  </si>
  <si>
    <t>2022-02-24</t>
  </si>
  <si>
    <t>TX00069</t>
  </si>
  <si>
    <t>2022-02-25</t>
  </si>
  <si>
    <t>TX00070</t>
  </si>
  <si>
    <t>2022-02-26</t>
  </si>
  <si>
    <t>TX00071</t>
  </si>
  <si>
    <t>2022-02-27</t>
  </si>
  <si>
    <t>TX00072</t>
  </si>
  <si>
    <t>2022-02-28</t>
  </si>
  <si>
    <t>TX00073</t>
  </si>
  <si>
    <t>2022-03-01</t>
  </si>
  <si>
    <t>TX00074</t>
  </si>
  <si>
    <t>March</t>
  </si>
  <si>
    <t>2022-03-02</t>
  </si>
  <si>
    <t>TX00075</t>
  </si>
  <si>
    <t>2022-03-03</t>
  </si>
  <si>
    <t>TX00076</t>
  </si>
  <si>
    <t>2022-03-04</t>
  </si>
  <si>
    <t>TX00077</t>
  </si>
  <si>
    <t>2022-03-05</t>
  </si>
  <si>
    <t>TX00078</t>
  </si>
  <si>
    <t>TX00079</t>
  </si>
  <si>
    <t>2022-03-06</t>
  </si>
  <si>
    <t>TX00080</t>
  </si>
  <si>
    <t>2022-03-07</t>
  </si>
  <si>
    <t>TX00081</t>
  </si>
  <si>
    <t>2022-03-08</t>
  </si>
  <si>
    <t>TX00082</t>
  </si>
  <si>
    <t>TX00083</t>
  </si>
  <si>
    <t>2022-03-09</t>
  </si>
  <si>
    <t>TX00084</t>
  </si>
  <si>
    <t>2022-03-10</t>
  </si>
  <si>
    <t>TX00085</t>
  </si>
  <si>
    <t>2022-03-11</t>
  </si>
  <si>
    <t>TX00086</t>
  </si>
  <si>
    <t>2022-03-12</t>
  </si>
  <si>
    <t>TX00087</t>
  </si>
  <si>
    <t>2022-03-13</t>
  </si>
  <si>
    <t>TX00088</t>
  </si>
  <si>
    <t>TX00089</t>
  </si>
  <si>
    <t>2022-03-14</t>
  </si>
  <si>
    <t>TX00090</t>
  </si>
  <si>
    <t>2022-03-15</t>
  </si>
  <si>
    <t>TX00091</t>
  </si>
  <si>
    <t>2022-03-16</t>
  </si>
  <si>
    <t>TX00092</t>
  </si>
  <si>
    <t>2022-03-17</t>
  </si>
  <si>
    <t>TX00093</t>
  </si>
  <si>
    <t>2022-03-18</t>
  </si>
  <si>
    <t>TX00094</t>
  </si>
  <si>
    <t>2022-03-19</t>
  </si>
  <si>
    <t>TX00096</t>
  </si>
  <si>
    <t>TX00095</t>
  </si>
  <si>
    <t>2022-03-20</t>
  </si>
  <si>
    <t>TX00097</t>
  </si>
  <si>
    <t>2022-03-21</t>
  </si>
  <si>
    <t>TX00098</t>
  </si>
  <si>
    <t>TX00099</t>
  </si>
  <si>
    <t>2022-03-22</t>
  </si>
  <si>
    <t>TX00100</t>
  </si>
  <si>
    <t>2022-03-23</t>
  </si>
  <si>
    <t>TX00101</t>
  </si>
  <si>
    <t>2022-03-24</t>
  </si>
  <si>
    <t>TX00102</t>
  </si>
  <si>
    <t>2022-03-25</t>
  </si>
  <si>
    <t>TX00103</t>
  </si>
  <si>
    <t>2022-03-26</t>
  </si>
  <si>
    <t>TX00104</t>
  </si>
  <si>
    <t>2022-03-27</t>
  </si>
  <si>
    <t>TX00105</t>
  </si>
  <si>
    <t>2022-03-28</t>
  </si>
  <si>
    <t>TX00106</t>
  </si>
  <si>
    <t>2022-03-29</t>
  </si>
  <si>
    <t>TX00107</t>
  </si>
  <si>
    <t>2022-03-30</t>
  </si>
  <si>
    <t>TX00108</t>
  </si>
  <si>
    <t>2022-03-31</t>
  </si>
  <si>
    <t>TX00109</t>
  </si>
  <si>
    <t>2022-04-01</t>
  </si>
  <si>
    <t>TX00110</t>
  </si>
  <si>
    <t>April</t>
  </si>
  <si>
    <t>2022-04-02</t>
  </si>
  <si>
    <t>TX00111</t>
  </si>
  <si>
    <t>2022-04-03</t>
  </si>
  <si>
    <t>TX00112</t>
  </si>
  <si>
    <t>2022-04-04</t>
  </si>
  <si>
    <t>TX00113</t>
  </si>
  <si>
    <t>2022-04-05</t>
  </si>
  <si>
    <t>TX00114</t>
  </si>
  <si>
    <t>TX00115</t>
  </si>
  <si>
    <t>2022-04-06</t>
  </si>
  <si>
    <t>TX00116</t>
  </si>
  <si>
    <t>TX00117</t>
  </si>
  <si>
    <t>2022-04-07</t>
  </si>
  <si>
    <t>TX00118</t>
  </si>
  <si>
    <t>2022-04-08</t>
  </si>
  <si>
    <t>TX00119</t>
  </si>
  <si>
    <t>2022-04-09</t>
  </si>
  <si>
    <t>TX00120</t>
  </si>
  <si>
    <t>2022-04-10</t>
  </si>
  <si>
    <t>TX00122</t>
  </si>
  <si>
    <t>TX00121</t>
  </si>
  <si>
    <t>2022-04-11</t>
  </si>
  <si>
    <t>TX00123</t>
  </si>
  <si>
    <t>2022-04-12</t>
  </si>
  <si>
    <t>TX00124</t>
  </si>
  <si>
    <t>2022-04-13</t>
  </si>
  <si>
    <t>TX00125</t>
  </si>
  <si>
    <t>2022-04-14</t>
  </si>
  <si>
    <t>TX00126</t>
  </si>
  <si>
    <t>2022-04-15</t>
  </si>
  <si>
    <t>TX00127</t>
  </si>
  <si>
    <t>2022-04-16</t>
  </si>
  <si>
    <t>TX00128</t>
  </si>
  <si>
    <t>TX00129</t>
  </si>
  <si>
    <t>2022-04-17</t>
  </si>
  <si>
    <t>TX00130</t>
  </si>
  <si>
    <t>TX00131</t>
  </si>
  <si>
    <t>2022-04-18</t>
  </si>
  <si>
    <t>TX00132</t>
  </si>
  <si>
    <t>2022-04-19</t>
  </si>
  <si>
    <t>TX00133</t>
  </si>
  <si>
    <t>2022-04-20</t>
  </si>
  <si>
    <t>TX00134</t>
  </si>
  <si>
    <t>2022-04-21</t>
  </si>
  <si>
    <t>TX00136</t>
  </si>
  <si>
    <t>TX00135</t>
  </si>
  <si>
    <t>2022-04-22</t>
  </si>
  <si>
    <t>TX00137</t>
  </si>
  <si>
    <t>2022-04-23</t>
  </si>
  <si>
    <t>TX00138</t>
  </si>
  <si>
    <t>2022-04-24</t>
  </si>
  <si>
    <t>TX00139</t>
  </si>
  <si>
    <t>2022-04-25</t>
  </si>
  <si>
    <t>TX00140</t>
  </si>
  <si>
    <t>2022-04-26</t>
  </si>
  <si>
    <t>TX00141</t>
  </si>
  <si>
    <t>2022-04-27</t>
  </si>
  <si>
    <t>TX00142</t>
  </si>
  <si>
    <t>2022-04-28</t>
  </si>
  <si>
    <t>TX00143</t>
  </si>
  <si>
    <t>2022-04-29</t>
  </si>
  <si>
    <t>TX00144</t>
  </si>
  <si>
    <t>2022-04-30</t>
  </si>
  <si>
    <t>TX00145</t>
  </si>
  <si>
    <t>2022-05-01</t>
  </si>
  <si>
    <t>TX00146</t>
  </si>
  <si>
    <t>May</t>
  </si>
  <si>
    <t>2022-05-02</t>
  </si>
  <si>
    <t>TX00147</t>
  </si>
  <si>
    <t>2022-05-03</t>
  </si>
  <si>
    <t>TX00148</t>
  </si>
  <si>
    <t>2022-05-04</t>
  </si>
  <si>
    <t>TX00150</t>
  </si>
  <si>
    <t>TX00149</t>
  </si>
  <si>
    <t>2022-05-05</t>
  </si>
  <si>
    <t>TX00151</t>
  </si>
  <si>
    <t>2022-05-06</t>
  </si>
  <si>
    <t>TX00152</t>
  </si>
  <si>
    <t>2022-05-07</t>
  </si>
  <si>
    <t>TX00153</t>
  </si>
  <si>
    <t>2022-05-08</t>
  </si>
  <si>
    <t>TX00154</t>
  </si>
  <si>
    <t>2022-05-09</t>
  </si>
  <si>
    <t>TX00155</t>
  </si>
  <si>
    <t>2022-05-10</t>
  </si>
  <si>
    <t>TX00156</t>
  </si>
  <si>
    <t>2022-05-11</t>
  </si>
  <si>
    <t>TX00157</t>
  </si>
  <si>
    <t>2022-05-12</t>
  </si>
  <si>
    <t>TX00158</t>
  </si>
  <si>
    <t>2022-05-13</t>
  </si>
  <si>
    <t>TX00159</t>
  </si>
  <si>
    <t>2022-05-14</t>
  </si>
  <si>
    <t>TX00160</t>
  </si>
  <si>
    <t>2022-05-15</t>
  </si>
  <si>
    <t>TX00161</t>
  </si>
  <si>
    <t>2022-05-16</t>
  </si>
  <si>
    <t>TX00162</t>
  </si>
  <si>
    <t>2022-05-17</t>
  </si>
  <si>
    <t>TX00163</t>
  </si>
  <si>
    <t>2022-05-18</t>
  </si>
  <si>
    <t>TX00164</t>
  </si>
  <si>
    <t>2022-05-19</t>
  </si>
  <si>
    <t>TX00165</t>
  </si>
  <si>
    <t>2022-05-20</t>
  </si>
  <si>
    <t>TX00166</t>
  </si>
  <si>
    <t>2022-05-21</t>
  </si>
  <si>
    <t>TX00167</t>
  </si>
  <si>
    <t>2022-05-22</t>
  </si>
  <si>
    <t>TX00168</t>
  </si>
  <si>
    <t>2022-05-23</t>
  </si>
  <si>
    <t>TX00169</t>
  </si>
  <si>
    <t>2022-05-24</t>
  </si>
  <si>
    <t>TX00170</t>
  </si>
  <si>
    <t>2022-05-25</t>
  </si>
  <si>
    <t>TX00171</t>
  </si>
  <si>
    <t>TX00172</t>
  </si>
  <si>
    <t>2022-05-26</t>
  </si>
  <si>
    <t>TX00173</t>
  </si>
  <si>
    <t>2022-05-27</t>
  </si>
  <si>
    <t>TX00174</t>
  </si>
  <si>
    <t>TX00175</t>
  </si>
  <si>
    <t>2022-05-28</t>
  </si>
  <si>
    <t>TX00176</t>
  </si>
  <si>
    <t>2022-05-29</t>
  </si>
  <si>
    <t>TX00177</t>
  </si>
  <si>
    <t>2022-05-30</t>
  </si>
  <si>
    <t>TX00178</t>
  </si>
  <si>
    <t>2022-05-31</t>
  </si>
  <si>
    <t>TX00179</t>
  </si>
  <si>
    <t>2022-06-01</t>
  </si>
  <si>
    <t>TX00180</t>
  </si>
  <si>
    <t>June</t>
  </si>
  <si>
    <t>2022-06-02</t>
  </si>
  <si>
    <t>TX00181</t>
  </si>
  <si>
    <t>2022-06-03</t>
  </si>
  <si>
    <t>TX00182</t>
  </si>
  <si>
    <t>TX00183</t>
  </si>
  <si>
    <t>2022-06-04</t>
  </si>
  <si>
    <t>TX00184</t>
  </si>
  <si>
    <t>2022-06-05</t>
  </si>
  <si>
    <t>TX00185</t>
  </si>
  <si>
    <t>2022-06-06</t>
  </si>
  <si>
    <t>TX00186</t>
  </si>
  <si>
    <t>2022-06-07</t>
  </si>
  <si>
    <t>TX00187</t>
  </si>
  <si>
    <t>2022-06-08</t>
  </si>
  <si>
    <t>TX00188</t>
  </si>
  <si>
    <t>2022-06-09</t>
  </si>
  <si>
    <t>TX00189</t>
  </si>
  <si>
    <t>2022-06-10</t>
  </si>
  <si>
    <t>TX00190</t>
  </si>
  <si>
    <t>2022-06-11</t>
  </si>
  <si>
    <t>TX00192</t>
  </si>
  <si>
    <t>TX00191</t>
  </si>
  <si>
    <t>2022-06-12</t>
  </si>
  <si>
    <t>TX00193</t>
  </si>
  <si>
    <t>2022-06-13</t>
  </si>
  <si>
    <t>TX00194</t>
  </si>
  <si>
    <t>2022-06-14</t>
  </si>
  <si>
    <t>TX00195</t>
  </si>
  <si>
    <t>2022-06-15</t>
  </si>
  <si>
    <t>TX00196</t>
  </si>
  <si>
    <t>TX00197</t>
  </si>
  <si>
    <t>2022-06-16</t>
  </si>
  <si>
    <t>TX00198</t>
  </si>
  <si>
    <t>2022-06-17</t>
  </si>
  <si>
    <t>TX00199</t>
  </si>
  <si>
    <t>2022-06-18</t>
  </si>
  <si>
    <t>TX00200</t>
  </si>
  <si>
    <t>2022-06-19</t>
  </si>
  <si>
    <t>TX00201</t>
  </si>
  <si>
    <t>TX00202</t>
  </si>
  <si>
    <t>2022-06-20</t>
  </si>
  <si>
    <t>TX00203</t>
  </si>
  <si>
    <t>2022-06-21</t>
  </si>
  <si>
    <t>TX00204</t>
  </si>
  <si>
    <t>2022-06-22</t>
  </si>
  <si>
    <t>TX00205</t>
  </si>
  <si>
    <t>2022-06-23</t>
  </si>
  <si>
    <t>TX00206</t>
  </si>
  <si>
    <t>TX00207</t>
  </si>
  <si>
    <t>2022-06-24</t>
  </si>
  <si>
    <t>TX00208</t>
  </si>
  <si>
    <t>TX00209</t>
  </si>
  <si>
    <t>2022-06-25</t>
  </si>
  <si>
    <t>TX00210</t>
  </si>
  <si>
    <t>TX00211</t>
  </si>
  <si>
    <t>2022-06-26</t>
  </si>
  <si>
    <t>TX00212</t>
  </si>
  <si>
    <t>TX00213</t>
  </si>
  <si>
    <t>2022-06-27</t>
  </si>
  <si>
    <t>TX00214</t>
  </si>
  <si>
    <t>2022-06-28</t>
  </si>
  <si>
    <t>TX00215</t>
  </si>
  <si>
    <t>2022-06-29</t>
  </si>
  <si>
    <t>TX00216</t>
  </si>
  <si>
    <t>2022-06-30</t>
  </si>
  <si>
    <t>TX00217</t>
  </si>
  <si>
    <t>TX00218</t>
  </si>
  <si>
    <t>2022-07-01</t>
  </si>
  <si>
    <t>TX00219</t>
  </si>
  <si>
    <t>July</t>
  </si>
  <si>
    <t>2022-07-02</t>
  </si>
  <si>
    <t>TX00220</t>
  </si>
  <si>
    <t>2022-07-03</t>
  </si>
  <si>
    <t>TX00221</t>
  </si>
  <si>
    <t>2022-07-04</t>
  </si>
  <si>
    <t>TX00222</t>
  </si>
  <si>
    <t>TX00223</t>
  </si>
  <si>
    <t>2022-07-05</t>
  </si>
  <si>
    <t>TX00224</t>
  </si>
  <si>
    <t>2022-07-06</t>
  </si>
  <si>
    <t>TX00225</t>
  </si>
  <si>
    <t>2022-07-07</t>
  </si>
  <si>
    <t>TX00226</t>
  </si>
  <si>
    <t>2022-07-08</t>
  </si>
  <si>
    <t>TX00227</t>
  </si>
  <si>
    <t>2022-07-09</t>
  </si>
  <si>
    <t>TX00228</t>
  </si>
  <si>
    <t>2022-07-10</t>
  </si>
  <si>
    <t>TX00229</t>
  </si>
  <si>
    <t>2022-07-11</t>
  </si>
  <si>
    <t>TX00230</t>
  </si>
  <si>
    <t>2022-07-12</t>
  </si>
  <si>
    <t>TX00231</t>
  </si>
  <si>
    <t>2022-07-13</t>
  </si>
  <si>
    <t>TX00232</t>
  </si>
  <si>
    <t>2022-07-14</t>
  </si>
  <si>
    <t>TX00233</t>
  </si>
  <si>
    <t>TX00234</t>
  </si>
  <si>
    <t>2022-07-15</t>
  </si>
  <si>
    <t>TX00235</t>
  </si>
  <si>
    <t>2022-07-16</t>
  </si>
  <si>
    <t>TX00236</t>
  </si>
  <si>
    <t>TX00237</t>
  </si>
  <si>
    <t>2022-07-17</t>
  </si>
  <si>
    <t>TX00238</t>
  </si>
  <si>
    <t>2022-07-18</t>
  </si>
  <si>
    <t>TX00239</t>
  </si>
  <si>
    <t>2022-07-19</t>
  </si>
  <si>
    <t>TX00240</t>
  </si>
  <si>
    <t>TX00241</t>
  </si>
  <si>
    <t>2022-07-20</t>
  </si>
  <si>
    <t>TX00242</t>
  </si>
  <si>
    <t>2022-07-21</t>
  </si>
  <si>
    <t>TX00243</t>
  </si>
  <si>
    <t>2022-07-22</t>
  </si>
  <si>
    <t>TX00244</t>
  </si>
  <si>
    <t>2022-07-23</t>
  </si>
  <si>
    <t>TX00245</t>
  </si>
  <si>
    <t>2022-07-24</t>
  </si>
  <si>
    <t>TX00246</t>
  </si>
  <si>
    <t>2022-07-25</t>
  </si>
  <si>
    <t>TX00247</t>
  </si>
  <si>
    <t>2022-07-26</t>
  </si>
  <si>
    <t>TX00248</t>
  </si>
  <si>
    <t>2022-07-27</t>
  </si>
  <si>
    <t>TX00249</t>
  </si>
  <si>
    <t>2022-07-28</t>
  </si>
  <si>
    <t>TX00250</t>
  </si>
  <si>
    <t>2022-07-29</t>
  </si>
  <si>
    <t>TX00251</t>
  </si>
  <si>
    <t>2022-07-30</t>
  </si>
  <si>
    <t>TX00252</t>
  </si>
  <si>
    <t>2022-07-31</t>
  </si>
  <si>
    <t>TX00253</t>
  </si>
  <si>
    <t>TX00254</t>
  </si>
  <si>
    <t>2022-08-01</t>
  </si>
  <si>
    <t>TX00255</t>
  </si>
  <si>
    <t>August</t>
  </si>
  <si>
    <t>2022-08-02</t>
  </si>
  <si>
    <t>TX00256</t>
  </si>
  <si>
    <t>2022-08-03</t>
  </si>
  <si>
    <t>TX00257</t>
  </si>
  <si>
    <t>TX00258</t>
  </si>
  <si>
    <t>2022-08-04</t>
  </si>
  <si>
    <t>TX00259</t>
  </si>
  <si>
    <t>2022-08-05</t>
  </si>
  <si>
    <t>TX00260</t>
  </si>
  <si>
    <t>2022-08-06</t>
  </si>
  <si>
    <t>TX00261</t>
  </si>
  <si>
    <t>2022-08-07</t>
  </si>
  <si>
    <t>TX00262</t>
  </si>
  <si>
    <t>2022-08-08</t>
  </si>
  <si>
    <t>TX00263</t>
  </si>
  <si>
    <t>TX00264</t>
  </si>
  <si>
    <t>2022-08-09</t>
  </si>
  <si>
    <t>TX00265</t>
  </si>
  <si>
    <t>2022-08-10</t>
  </si>
  <si>
    <t>TX00266</t>
  </si>
  <si>
    <t>2022-08-11</t>
  </si>
  <si>
    <t>TX00267</t>
  </si>
  <si>
    <t>2022-08-12</t>
  </si>
  <si>
    <t>TX00268</t>
  </si>
  <si>
    <t>TX00269</t>
  </si>
  <si>
    <t>2022-08-13</t>
  </si>
  <si>
    <t>TX00270</t>
  </si>
  <si>
    <t>TX00271</t>
  </si>
  <si>
    <t>2022-08-14</t>
  </si>
  <si>
    <t>TX00272</t>
  </si>
  <si>
    <t>2022-08-15</t>
  </si>
  <si>
    <t>TX00273</t>
  </si>
  <si>
    <t>2022-08-16</t>
  </si>
  <si>
    <t>TX00274</t>
  </si>
  <si>
    <t>2022-08-17</t>
  </si>
  <si>
    <t>TX00275</t>
  </si>
  <si>
    <t>2022-08-18</t>
  </si>
  <si>
    <t>TX00276</t>
  </si>
  <si>
    <t>2022-08-19</t>
  </si>
  <si>
    <t>TX00277</t>
  </si>
  <si>
    <t>TX00278</t>
  </si>
  <si>
    <t>2022-08-20</t>
  </si>
  <si>
    <t>TX00279</t>
  </si>
  <si>
    <t>2022-08-21</t>
  </si>
  <si>
    <t>TX00280</t>
  </si>
  <si>
    <t>TX00281</t>
  </si>
  <si>
    <t>2022-08-22</t>
  </si>
  <si>
    <t>TX00282</t>
  </si>
  <si>
    <t>2022-08-23</t>
  </si>
  <si>
    <t>TX00283</t>
  </si>
  <si>
    <t>2022-08-24</t>
  </si>
  <si>
    <t>TX00284</t>
  </si>
  <si>
    <t>2022-08-25</t>
  </si>
  <si>
    <t>TX00285</t>
  </si>
  <si>
    <t>2022-08-26</t>
  </si>
  <si>
    <t>TX00286</t>
  </si>
  <si>
    <t>2022-08-27</t>
  </si>
  <si>
    <t>TX00288</t>
  </si>
  <si>
    <t>TX00287</t>
  </si>
  <si>
    <t>2022-08-28</t>
  </si>
  <si>
    <t>TX00289</t>
  </si>
  <si>
    <t>2022-08-29</t>
  </si>
  <si>
    <t>TX00290</t>
  </si>
  <si>
    <t>2022-08-30</t>
  </si>
  <si>
    <t>TX00291</t>
  </si>
  <si>
    <t>TX00292</t>
  </si>
  <si>
    <t>2022-08-31</t>
  </si>
  <si>
    <t>TX00293</t>
  </si>
  <si>
    <t>TX00294</t>
  </si>
  <si>
    <t>2022-09-01</t>
  </si>
  <si>
    <t>TX00295</t>
  </si>
  <si>
    <t>September</t>
  </si>
  <si>
    <t>2022-09-02</t>
  </si>
  <si>
    <t>TX00296</t>
  </si>
  <si>
    <t>2022-09-03</t>
  </si>
  <si>
    <t>TX00297</t>
  </si>
  <si>
    <t>2022-09-04</t>
  </si>
  <si>
    <t>TX00298</t>
  </si>
  <si>
    <t>2022-09-05</t>
  </si>
  <si>
    <t>TX00299</t>
  </si>
  <si>
    <t>2022-09-06</t>
  </si>
  <si>
    <t>TX00301</t>
  </si>
  <si>
    <t>TX00300</t>
  </si>
  <si>
    <t>2022-09-07</t>
  </si>
  <si>
    <t>TX00302</t>
  </si>
  <si>
    <t>2022-09-08</t>
  </si>
  <si>
    <t>TX00303</t>
  </si>
  <si>
    <t>2022-09-09</t>
  </si>
  <si>
    <t>TX00304</t>
  </si>
  <si>
    <t>2022-09-10</t>
  </si>
  <si>
    <t>TX00305</t>
  </si>
  <si>
    <t>2022-09-11</t>
  </si>
  <si>
    <t>TX00306</t>
  </si>
  <si>
    <t>TX00307</t>
  </si>
  <si>
    <t>2022-09-12</t>
  </si>
  <si>
    <t>TX00308</t>
  </si>
  <si>
    <t>2022-09-13</t>
  </si>
  <si>
    <t>TX00309</t>
  </si>
  <si>
    <t>2022-09-14</t>
  </si>
  <si>
    <t>TX00310</t>
  </si>
  <si>
    <t>2022-09-15</t>
  </si>
  <si>
    <t>TX00311</t>
  </si>
  <si>
    <t>2022-09-16</t>
  </si>
  <si>
    <t>TX00312</t>
  </si>
  <si>
    <t>2022-09-17</t>
  </si>
  <si>
    <t>TX00314</t>
  </si>
  <si>
    <t>TX00313</t>
  </si>
  <si>
    <t>2022-09-18</t>
  </si>
  <si>
    <t>TX00315</t>
  </si>
  <si>
    <t>2022-09-19</t>
  </si>
  <si>
    <t>TX00316</t>
  </si>
  <si>
    <t>TX00317</t>
  </si>
  <si>
    <t>2022-09-20</t>
  </si>
  <si>
    <t>TX00318</t>
  </si>
  <si>
    <t>2022-09-21</t>
  </si>
  <si>
    <t>TX00319</t>
  </si>
  <si>
    <t>2022-09-22</t>
  </si>
  <si>
    <t>TX00320</t>
  </si>
  <si>
    <t>2022-09-23</t>
  </si>
  <si>
    <t>TX00321</t>
  </si>
  <si>
    <t>2022-09-24</t>
  </si>
  <si>
    <t>TX00322</t>
  </si>
  <si>
    <t>2022-09-25</t>
  </si>
  <si>
    <t>TX00323</t>
  </si>
  <si>
    <t>2022-09-26</t>
  </si>
  <si>
    <t>TX00324</t>
  </si>
  <si>
    <t>2022-09-27</t>
  </si>
  <si>
    <t>TX00326</t>
  </si>
  <si>
    <t>TX00325</t>
  </si>
  <si>
    <t>2022-09-28</t>
  </si>
  <si>
    <t>TX00327</t>
  </si>
  <si>
    <t>2022-09-29</t>
  </si>
  <si>
    <t>TX00328</t>
  </si>
  <si>
    <t>2022-09-30</t>
  </si>
  <si>
    <t>TX00329</t>
  </si>
  <si>
    <t>2022-10-01</t>
  </si>
  <si>
    <t>TX00330</t>
  </si>
  <si>
    <t>October</t>
  </si>
  <si>
    <t>2022-10-02</t>
  </si>
  <si>
    <t>TX00331</t>
  </si>
  <si>
    <t>TX00332</t>
  </si>
  <si>
    <t>2022-10-03</t>
  </si>
  <si>
    <t>TX00333</t>
  </si>
  <si>
    <t>2022-10-04</t>
  </si>
  <si>
    <t>TX00334</t>
  </si>
  <si>
    <t>2022-10-05</t>
  </si>
  <si>
    <t>TX00335</t>
  </si>
  <si>
    <t>2022-10-06</t>
  </si>
  <si>
    <t>TX00336</t>
  </si>
  <si>
    <t>2022-10-07</t>
  </si>
  <si>
    <t>TX00337</t>
  </si>
  <si>
    <t>2022-10-08</t>
  </si>
  <si>
    <t>TX00338</t>
  </si>
  <si>
    <t>TX00339</t>
  </si>
  <si>
    <t>2022-10-09</t>
  </si>
  <si>
    <t>TX00341</t>
  </si>
  <si>
    <t>TX00340</t>
  </si>
  <si>
    <t>2022-10-10</t>
  </si>
  <si>
    <t>TX00342</t>
  </si>
  <si>
    <t>2022-10-11</t>
  </si>
  <si>
    <t>TX00343</t>
  </si>
  <si>
    <t>2022-10-12</t>
  </si>
  <si>
    <t>TX00344</t>
  </si>
  <si>
    <t>2022-10-13</t>
  </si>
  <si>
    <t>TX00345</t>
  </si>
  <si>
    <t>2022-10-14</t>
  </si>
  <si>
    <t>TX00346</t>
  </si>
  <si>
    <t>2022-10-15</t>
  </si>
  <si>
    <t>TX00347</t>
  </si>
  <si>
    <t>2022-10-16</t>
  </si>
  <si>
    <t>TX00348</t>
  </si>
  <si>
    <t>2022-10-17</t>
  </si>
  <si>
    <t>TX00349</t>
  </si>
  <si>
    <t>2022-10-18</t>
  </si>
  <si>
    <t>TX00350</t>
  </si>
  <si>
    <t>2022-10-19</t>
  </si>
  <si>
    <t>TX00351</t>
  </si>
  <si>
    <t>2022-10-20</t>
  </si>
  <si>
    <t>TX00352</t>
  </si>
  <si>
    <t>2022-10-21</t>
  </si>
  <si>
    <t>TX00353</t>
  </si>
  <si>
    <t>2022-10-22</t>
  </si>
  <si>
    <t>TX00354</t>
  </si>
  <si>
    <t>2022-10-23</t>
  </si>
  <si>
    <t>TX00355</t>
  </si>
  <si>
    <t>2022-10-24</t>
  </si>
  <si>
    <t>TX00356</t>
  </si>
  <si>
    <t>2022-10-25</t>
  </si>
  <si>
    <t>TX00357</t>
  </si>
  <si>
    <t>2022-10-26</t>
  </si>
  <si>
    <t>TX00358</t>
  </si>
  <si>
    <t>2022-10-27</t>
  </si>
  <si>
    <t>TX00359</t>
  </si>
  <si>
    <t>TX00360</t>
  </si>
  <si>
    <t>2022-10-28</t>
  </si>
  <si>
    <t>TX00361</t>
  </si>
  <si>
    <t>2022-10-29</t>
  </si>
  <si>
    <t>TX00362</t>
  </si>
  <si>
    <t>2022-10-30</t>
  </si>
  <si>
    <t>TX00363</t>
  </si>
  <si>
    <t>2022-10-31</t>
  </si>
  <si>
    <t>TX00364</t>
  </si>
  <si>
    <t>2022-11-01</t>
  </si>
  <si>
    <t>TX00365</t>
  </si>
  <si>
    <t>November</t>
  </si>
  <si>
    <t>2022-11-02</t>
  </si>
  <si>
    <t>TX00366</t>
  </si>
  <si>
    <t>2022-11-03</t>
  </si>
  <si>
    <t>TX00367</t>
  </si>
  <si>
    <t>2022-11-04</t>
  </si>
  <si>
    <t>TX00368</t>
  </si>
  <si>
    <t>2022-11-05</t>
  </si>
  <si>
    <t>TX00369</t>
  </si>
  <si>
    <t>2022-11-06</t>
  </si>
  <si>
    <t>TX00370</t>
  </si>
  <si>
    <t>2022-11-07</t>
  </si>
  <si>
    <t>TX00371</t>
  </si>
  <si>
    <t>2022-11-08</t>
  </si>
  <si>
    <t>TX00372</t>
  </si>
  <si>
    <t>TX00373</t>
  </si>
  <si>
    <t>2022-11-09</t>
  </si>
  <si>
    <t>TX00374</t>
  </si>
  <si>
    <t>2022-11-10</t>
  </si>
  <si>
    <t>TX00375</t>
  </si>
  <si>
    <t>2022-11-11</t>
  </si>
  <si>
    <t>TX00376</t>
  </si>
  <si>
    <t>2022-11-12</t>
  </si>
  <si>
    <t>TX00377</t>
  </si>
  <si>
    <t>2022-11-13</t>
  </si>
  <si>
    <t>TX00378</t>
  </si>
  <si>
    <t>2022-11-14</t>
  </si>
  <si>
    <t>TX00379</t>
  </si>
  <si>
    <t>TX00380</t>
  </si>
  <si>
    <t>2022-11-15</t>
  </si>
  <si>
    <t>TX00381</t>
  </si>
  <si>
    <t>2022-11-16</t>
  </si>
  <si>
    <t>TX00383</t>
  </si>
  <si>
    <t>TX00382</t>
  </si>
  <si>
    <t>2022-11-17</t>
  </si>
  <si>
    <t>TX00384</t>
  </si>
  <si>
    <t>2022-11-18</t>
  </si>
  <si>
    <t>TX00385</t>
  </si>
  <si>
    <t>2022-11-19</t>
  </si>
  <si>
    <t>TX00386</t>
  </si>
  <si>
    <t>2022-11-20</t>
  </si>
  <si>
    <t>TX00387</t>
  </si>
  <si>
    <t>TX00388</t>
  </si>
  <si>
    <t>2022-11-21</t>
  </si>
  <si>
    <t>TX00389</t>
  </si>
  <si>
    <t>2022-11-22</t>
  </si>
  <si>
    <t>TX00390</t>
  </si>
  <si>
    <t>TX00391</t>
  </si>
  <si>
    <t>2022-11-23</t>
  </si>
  <si>
    <t>TX00392</t>
  </si>
  <si>
    <t>2022-11-24</t>
  </si>
  <si>
    <t>TX00393</t>
  </si>
  <si>
    <t>2022-11-25</t>
  </si>
  <si>
    <t>TX00394</t>
  </si>
  <si>
    <t>2022-11-26</t>
  </si>
  <si>
    <t>TX00396</t>
  </si>
  <si>
    <t>TX00395</t>
  </si>
  <si>
    <t>2022-11-27</t>
  </si>
  <si>
    <t>TX00397</t>
  </si>
  <si>
    <t>TX00398</t>
  </si>
  <si>
    <t>2022-11-28</t>
  </si>
  <si>
    <t>TX00399</t>
  </si>
  <si>
    <t>2022-11-29</t>
  </si>
  <si>
    <t>TX00400</t>
  </si>
  <si>
    <t>2022-11-30</t>
  </si>
  <si>
    <t>TX00401</t>
  </si>
  <si>
    <t>TX00402</t>
  </si>
  <si>
    <t>2022-12-01</t>
  </si>
  <si>
    <t>TX00403</t>
  </si>
  <si>
    <t>December</t>
  </si>
  <si>
    <t>2022-12-02</t>
  </si>
  <si>
    <t>TX00404</t>
  </si>
  <si>
    <t>2022-12-03</t>
  </si>
  <si>
    <t>TX00405</t>
  </si>
  <si>
    <t>2022-12-04</t>
  </si>
  <si>
    <t>TX00406</t>
  </si>
  <si>
    <t>2022-12-05</t>
  </si>
  <si>
    <t>TX00407</t>
  </si>
  <si>
    <t>2022-12-06</t>
  </si>
  <si>
    <t>TX00408</t>
  </si>
  <si>
    <t>TX00409</t>
  </si>
  <si>
    <t>2022-12-07</t>
  </si>
  <si>
    <t>TX00410</t>
  </si>
  <si>
    <t>2022-12-08</t>
  </si>
  <si>
    <t>TX00411</t>
  </si>
  <si>
    <t>2022-12-09</t>
  </si>
  <si>
    <t>TX00412</t>
  </si>
  <si>
    <t>2022-12-10</t>
  </si>
  <si>
    <t>TX00413</t>
  </si>
  <si>
    <t>2022-12-11</t>
  </si>
  <si>
    <t>TX00414</t>
  </si>
  <si>
    <t>TX00415</t>
  </si>
  <si>
    <t>2022-12-12</t>
  </si>
  <si>
    <t>TX00416</t>
  </si>
  <si>
    <t>TX00417</t>
  </si>
  <si>
    <t>2022-12-13</t>
  </si>
  <si>
    <t>TX00418</t>
  </si>
  <si>
    <t>TX00419</t>
  </si>
  <si>
    <t>2022-12-14</t>
  </si>
  <si>
    <t>TX00420</t>
  </si>
  <si>
    <t>2022-12-15</t>
  </si>
  <si>
    <t>TX00421</t>
  </si>
  <si>
    <t>2022-12-16</t>
  </si>
  <si>
    <t>TX00422</t>
  </si>
  <si>
    <t>2022-12-17</t>
  </si>
  <si>
    <t>TX00423</t>
  </si>
  <si>
    <t>2022-12-18</t>
  </si>
  <si>
    <t>TX00424</t>
  </si>
  <si>
    <t>2022-12-19</t>
  </si>
  <si>
    <t>TX00425</t>
  </si>
  <si>
    <t>2022-12-20</t>
  </si>
  <si>
    <t>TX00426</t>
  </si>
  <si>
    <t>2022-12-21</t>
  </si>
  <si>
    <t>TX00427</t>
  </si>
  <si>
    <t>2022-12-22</t>
  </si>
  <si>
    <t>TX00428</t>
  </si>
  <si>
    <t>2022-12-23</t>
  </si>
  <si>
    <t>TX00429</t>
  </si>
  <si>
    <t>2022-12-24</t>
  </si>
  <si>
    <t>TX00430</t>
  </si>
  <si>
    <t>2022-12-25</t>
  </si>
  <si>
    <t>TX00431</t>
  </si>
  <si>
    <t>2022-12-26</t>
  </si>
  <si>
    <t>TX00432</t>
  </si>
  <si>
    <t>2022-12-27</t>
  </si>
  <si>
    <t>TX00433</t>
  </si>
  <si>
    <t>2022-12-28</t>
  </si>
  <si>
    <t>TX00434</t>
  </si>
  <si>
    <t>2022-12-29</t>
  </si>
  <si>
    <t>TX00435</t>
  </si>
  <si>
    <t>2022-12-30</t>
  </si>
  <si>
    <t>TX00436</t>
  </si>
  <si>
    <t>TX00437</t>
  </si>
  <si>
    <t>2022-12-31</t>
  </si>
  <si>
    <t>TX00439</t>
  </si>
  <si>
    <t>TX00438</t>
  </si>
  <si>
    <t>2023-01-01</t>
  </si>
  <si>
    <t>TX00440</t>
  </si>
  <si>
    <t>TX00441</t>
  </si>
  <si>
    <t>2023-01-02</t>
  </si>
  <si>
    <t>TX00442</t>
  </si>
  <si>
    <t>2023-01-03</t>
  </si>
  <si>
    <t>TX00443</t>
  </si>
  <si>
    <t>2023-01-04</t>
  </si>
  <si>
    <t>TX00444</t>
  </si>
  <si>
    <t>2023-01-05</t>
  </si>
  <si>
    <t>TX00445</t>
  </si>
  <si>
    <t>2023-01-06</t>
  </si>
  <si>
    <t>TX00446</t>
  </si>
  <si>
    <t>2023-01-07</t>
  </si>
  <si>
    <t>TX00447</t>
  </si>
  <si>
    <t>2023-01-08</t>
  </si>
  <si>
    <t>TX00448</t>
  </si>
  <si>
    <t>2023-01-09</t>
  </si>
  <si>
    <t>TX00449</t>
  </si>
  <si>
    <t>TX00450</t>
  </si>
  <si>
    <t>2023-01-10</t>
  </si>
  <si>
    <t>TX00452</t>
  </si>
  <si>
    <t>TX00451</t>
  </si>
  <si>
    <t>2023-01-11</t>
  </si>
  <si>
    <t>TX00453</t>
  </si>
  <si>
    <t>TX00454</t>
  </si>
  <si>
    <t>2023-01-12</t>
  </si>
  <si>
    <t>TX00455</t>
  </si>
  <si>
    <t>TX00456</t>
  </si>
  <si>
    <t>2023-01-13</t>
  </si>
  <si>
    <t>TX00457</t>
  </si>
  <si>
    <t>2023-01-14</t>
  </si>
  <si>
    <t>TX00458</t>
  </si>
  <si>
    <t>2023-01-15</t>
  </si>
  <si>
    <t>TX00459</t>
  </si>
  <si>
    <t>2023-01-16</t>
  </si>
  <si>
    <t>TX00460</t>
  </si>
  <si>
    <t>2023-01-17</t>
  </si>
  <si>
    <t>TX00461</t>
  </si>
  <si>
    <t>2023-01-18</t>
  </si>
  <si>
    <t>TX00462</t>
  </si>
  <si>
    <t>2023-01-19</t>
  </si>
  <si>
    <t>TX00464</t>
  </si>
  <si>
    <t>TX00463</t>
  </si>
  <si>
    <t>2023-01-20</t>
  </si>
  <si>
    <t>TX00465</t>
  </si>
  <si>
    <t>2023-01-21</t>
  </si>
  <si>
    <t>TX00466</t>
  </si>
  <si>
    <t>2023-01-22</t>
  </si>
  <si>
    <t>TX00467</t>
  </si>
  <si>
    <t>2023-01-23</t>
  </si>
  <si>
    <t>TX00468</t>
  </si>
  <si>
    <t>2023-01-24</t>
  </si>
  <si>
    <t>TX00469</t>
  </si>
  <si>
    <t>2023-01-25</t>
  </si>
  <si>
    <t>TX00470</t>
  </si>
  <si>
    <t>2023-01-26</t>
  </si>
  <si>
    <t>TX00471</t>
  </si>
  <si>
    <t>2023-01-27</t>
  </si>
  <si>
    <t>TX00472</t>
  </si>
  <si>
    <t>2023-01-28</t>
  </si>
  <si>
    <t>TX00473</t>
  </si>
  <si>
    <t>TX00474</t>
  </si>
  <si>
    <t>2023-01-29</t>
  </si>
  <si>
    <t>TX00475</t>
  </si>
  <si>
    <t>2023-01-30</t>
  </si>
  <si>
    <t>TX00476</t>
  </si>
  <si>
    <t>TX00477</t>
  </si>
  <si>
    <t>2023-01-31</t>
  </si>
  <si>
    <t>TX00478</t>
  </si>
  <si>
    <t>2023-02-01</t>
  </si>
  <si>
    <t>TX00479</t>
  </si>
  <si>
    <t>2023-02-02</t>
  </si>
  <si>
    <t>TX00480</t>
  </si>
  <si>
    <t>2023-02-03</t>
  </si>
  <si>
    <t>TX00481</t>
  </si>
  <si>
    <t>2023-02-04</t>
  </si>
  <si>
    <t>TX00482</t>
  </si>
  <si>
    <t>2023-02-05</t>
  </si>
  <si>
    <t>TX00483</t>
  </si>
  <si>
    <t>2023-02-06</t>
  </si>
  <si>
    <t>TX00484</t>
  </si>
  <si>
    <t>2023-02-07</t>
  </si>
  <si>
    <t>TX00485</t>
  </si>
  <si>
    <t>2023-02-08</t>
  </si>
  <si>
    <t>TX00486</t>
  </si>
  <si>
    <t>2023-02-09</t>
  </si>
  <si>
    <t>TX00487</t>
  </si>
  <si>
    <t>2023-02-10</t>
  </si>
  <si>
    <t>TX00488</t>
  </si>
  <si>
    <t>2023-02-11</t>
  </si>
  <si>
    <t>TX00489</t>
  </si>
  <si>
    <t>2023-02-12</t>
  </si>
  <si>
    <t>TX00490</t>
  </si>
  <si>
    <t>TX00491</t>
  </si>
  <si>
    <t>2023-02-13</t>
  </si>
  <si>
    <t>TX00492</t>
  </si>
  <si>
    <t>2023-02-14</t>
  </si>
  <si>
    <t>TX00494</t>
  </si>
  <si>
    <t>TX00493</t>
  </si>
  <si>
    <t>2023-02-15</t>
  </si>
  <si>
    <t>TX00495</t>
  </si>
  <si>
    <t>2023-02-16</t>
  </si>
  <si>
    <t>TX00496</t>
  </si>
  <si>
    <t>2023-02-17</t>
  </si>
  <si>
    <t>TX00497</t>
  </si>
  <si>
    <t>TX00498</t>
  </si>
  <si>
    <t>2023-02-18</t>
  </si>
  <si>
    <t>TX00499</t>
  </si>
  <si>
    <t>2023-02-19</t>
  </si>
  <si>
    <t>TX00500</t>
  </si>
  <si>
    <t>TX00501</t>
  </si>
  <si>
    <t>2023-02-20</t>
  </si>
  <si>
    <t>TX00502</t>
  </si>
  <si>
    <t>2023-02-21</t>
  </si>
  <si>
    <t>TX00503</t>
  </si>
  <si>
    <t>2023-02-22</t>
  </si>
  <si>
    <t>TX00504</t>
  </si>
  <si>
    <t>2023-02-23</t>
  </si>
  <si>
    <t>TX00505</t>
  </si>
  <si>
    <t>2023-02-24</t>
  </si>
  <si>
    <t>TX00506</t>
  </si>
  <si>
    <t>2023-02-25</t>
  </si>
  <si>
    <t>TX00507</t>
  </si>
  <si>
    <t>2023-02-26</t>
  </si>
  <si>
    <t>TX00508</t>
  </si>
  <si>
    <t>2023-02-27</t>
  </si>
  <si>
    <t>TX00509</t>
  </si>
  <si>
    <t>2023-02-28</t>
  </si>
  <si>
    <t>TX00510</t>
  </si>
  <si>
    <t>TX00511</t>
  </si>
  <si>
    <t>2023-03-01</t>
  </si>
  <si>
    <t>TX00512</t>
  </si>
  <si>
    <t>2023-03-02</t>
  </si>
  <si>
    <t>TX00513</t>
  </si>
  <si>
    <t>2023-03-03</t>
  </si>
  <si>
    <t>TX00514</t>
  </si>
  <si>
    <t>2023-03-04</t>
  </si>
  <si>
    <t>TX00515</t>
  </si>
  <si>
    <t>2023-03-05</t>
  </si>
  <si>
    <t>TX00516</t>
  </si>
  <si>
    <t>2023-03-06</t>
  </si>
  <si>
    <t>TX00517</t>
  </si>
  <si>
    <t>2023-03-07</t>
  </si>
  <si>
    <t>TX00518</t>
  </si>
  <si>
    <t>2023-03-08</t>
  </si>
  <si>
    <t>TX00519</t>
  </si>
  <si>
    <t>2023-03-09</t>
  </si>
  <si>
    <t>TX00520</t>
  </si>
  <si>
    <t>2023-03-10</t>
  </si>
  <si>
    <t>TX00521</t>
  </si>
  <si>
    <t>2023-03-11</t>
  </si>
  <si>
    <t>TX00522</t>
  </si>
  <si>
    <t>2023-03-12</t>
  </si>
  <si>
    <t>TX00523</t>
  </si>
  <si>
    <t>2023-03-13</t>
  </si>
  <si>
    <t>TX00524</t>
  </si>
  <si>
    <t>2023-03-14</t>
  </si>
  <si>
    <t>TX00525</t>
  </si>
  <si>
    <t>2023-03-15</t>
  </si>
  <si>
    <t>TX00526</t>
  </si>
  <si>
    <t>2023-03-16</t>
  </si>
  <si>
    <t>TX00527</t>
  </si>
  <si>
    <t>TX00528</t>
  </si>
  <si>
    <t>2023-03-17</t>
  </si>
  <si>
    <t>TX00529</t>
  </si>
  <si>
    <t>TX00530</t>
  </si>
  <si>
    <t>2023-03-18</t>
  </si>
  <si>
    <t>TX00531</t>
  </si>
  <si>
    <t>2023-03-19</t>
  </si>
  <si>
    <t>TX00532</t>
  </si>
  <si>
    <t>2023-03-20</t>
  </si>
  <si>
    <t>TX00533</t>
  </si>
  <si>
    <t>2023-03-21</t>
  </si>
  <si>
    <t>TX00534</t>
  </si>
  <si>
    <t>2023-03-22</t>
  </si>
  <si>
    <t>TX00535</t>
  </si>
  <si>
    <t>2023-03-23</t>
  </si>
  <si>
    <t>TX00536</t>
  </si>
  <si>
    <t>TX00537</t>
  </si>
  <si>
    <t>2023-03-24</t>
  </si>
  <si>
    <t>TX00538</t>
  </si>
  <si>
    <t>2023-03-25</t>
  </si>
  <si>
    <t>TX00539</t>
  </si>
  <si>
    <t>2023-03-26</t>
  </si>
  <si>
    <t>TX00540</t>
  </si>
  <si>
    <t>2023-03-27</t>
  </si>
  <si>
    <t>TX00541</t>
  </si>
  <si>
    <t>2023-03-28</t>
  </si>
  <si>
    <t>TX00542</t>
  </si>
  <si>
    <t>2023-03-29</t>
  </si>
  <si>
    <t>TX00543</t>
  </si>
  <si>
    <t>TX00544</t>
  </si>
  <si>
    <t>2023-03-30</t>
  </si>
  <si>
    <t>TX00545</t>
  </si>
  <si>
    <t>2023-03-31</t>
  </si>
  <si>
    <t>TX00546</t>
  </si>
  <si>
    <t>2023-04-01</t>
  </si>
  <si>
    <t>TX00547</t>
  </si>
  <si>
    <t>2023-04-02</t>
  </si>
  <si>
    <t>TX00548</t>
  </si>
  <si>
    <t>2023-04-03</t>
  </si>
  <si>
    <t>TX00549</t>
  </si>
  <si>
    <t>2023-04-04</t>
  </si>
  <si>
    <t>TX00550</t>
  </si>
  <si>
    <t>2023-04-05</t>
  </si>
  <si>
    <t>TX00551</t>
  </si>
  <si>
    <t>TX00552</t>
  </si>
  <si>
    <t>2023-04-06</t>
  </si>
  <si>
    <t>TX00553</t>
  </si>
  <si>
    <t>2023-04-07</t>
  </si>
  <si>
    <t>TX00554</t>
  </si>
  <si>
    <t>2023-04-08</t>
  </si>
  <si>
    <t>TX00555</t>
  </si>
  <si>
    <t>2023-04-09</t>
  </si>
  <si>
    <t>TX00556</t>
  </si>
  <si>
    <t>2023-04-10</t>
  </si>
  <si>
    <t>TX00557</t>
  </si>
  <si>
    <t>2023-04-11</t>
  </si>
  <si>
    <t>TX00558</t>
  </si>
  <si>
    <t>2023-04-12</t>
  </si>
  <si>
    <t>TX00559</t>
  </si>
  <si>
    <t>TX00560</t>
  </si>
  <si>
    <t>2023-04-13</t>
  </si>
  <si>
    <t>TX00561</t>
  </si>
  <si>
    <t>2023-04-14</t>
  </si>
  <si>
    <t>TX00562</t>
  </si>
  <si>
    <t>2023-04-15</t>
  </si>
  <si>
    <t>TX00563</t>
  </si>
  <si>
    <t>2023-04-16</t>
  </si>
  <si>
    <t>TX00564</t>
  </si>
  <si>
    <t>TX00565</t>
  </si>
  <si>
    <t>2023-04-17</t>
  </si>
  <si>
    <t>TX00566</t>
  </si>
  <si>
    <t>2023-04-18</t>
  </si>
  <si>
    <t>TX00567</t>
  </si>
  <si>
    <t>2023-04-19</t>
  </si>
  <si>
    <t>TX00568</t>
  </si>
  <si>
    <t>2023-04-20</t>
  </si>
  <si>
    <t>TX00569</t>
  </si>
  <si>
    <t>2023-04-21</t>
  </si>
  <si>
    <t>TX00570</t>
  </si>
  <si>
    <t>2023-04-22</t>
  </si>
  <si>
    <t>TX00571</t>
  </si>
  <si>
    <t>2023-04-23</t>
  </si>
  <si>
    <t>TX00572</t>
  </si>
  <si>
    <t>TX00573</t>
  </si>
  <si>
    <t>2023-04-24</t>
  </si>
  <si>
    <t>TX00574</t>
  </si>
  <si>
    <t>2023-04-25</t>
  </si>
  <si>
    <t>TX00575</t>
  </si>
  <si>
    <t>2023-04-26</t>
  </si>
  <si>
    <t>TX00577</t>
  </si>
  <si>
    <t>TX00576</t>
  </si>
  <si>
    <t>2023-04-27</t>
  </si>
  <si>
    <t>TX00578</t>
  </si>
  <si>
    <t>2023-04-28</t>
  </si>
  <si>
    <t>TX00579</t>
  </si>
  <si>
    <t>TX00580</t>
  </si>
  <si>
    <t>2023-04-29</t>
  </si>
  <si>
    <t>TX00581</t>
  </si>
  <si>
    <t>2023-04-30</t>
  </si>
  <si>
    <t>TX00582</t>
  </si>
  <si>
    <t>2023-05-01</t>
  </si>
  <si>
    <t>TX00583</t>
  </si>
  <si>
    <t>TX00584</t>
  </si>
  <si>
    <t>2023-05-02</t>
  </si>
  <si>
    <t>TX00585</t>
  </si>
  <si>
    <t>2023-05-03</t>
  </si>
  <si>
    <t>TX00586</t>
  </si>
  <si>
    <t>2023-05-04</t>
  </si>
  <si>
    <t>TX00587</t>
  </si>
  <si>
    <t>2023-05-05</t>
  </si>
  <si>
    <t>TX00588</t>
  </si>
  <si>
    <t>2023-05-06</t>
  </si>
  <si>
    <t>TX00589</t>
  </si>
  <si>
    <t>2023-05-07</t>
  </si>
  <si>
    <t>TX00590</t>
  </si>
  <si>
    <t>2023-05-08</t>
  </si>
  <si>
    <t>TX00591</t>
  </si>
  <si>
    <t>2023-05-09</t>
  </si>
  <si>
    <t>TX00592</t>
  </si>
  <si>
    <t>2023-05-10</t>
  </si>
  <si>
    <t>TX00593</t>
  </si>
  <si>
    <t>2023-05-11</t>
  </si>
  <si>
    <t>TX00594</t>
  </si>
  <si>
    <t>2023-05-12</t>
  </si>
  <si>
    <t>TX00595</t>
  </si>
  <si>
    <t>2023-05-13</t>
  </si>
  <si>
    <t>TX00596</t>
  </si>
  <si>
    <t>2023-05-14</t>
  </si>
  <si>
    <t>TX00597</t>
  </si>
  <si>
    <t>2023-05-15</t>
  </si>
  <si>
    <t>TX00598</t>
  </si>
  <si>
    <t>2023-05-16</t>
  </si>
  <si>
    <t>TX00599</t>
  </si>
  <si>
    <t>2023-05-17</t>
  </si>
  <si>
    <t>TX00600</t>
  </si>
  <si>
    <t>2023-05-18</t>
  </si>
  <si>
    <t>TX00601</t>
  </si>
  <si>
    <t>2023-05-19</t>
  </si>
  <si>
    <t>TX00602</t>
  </si>
  <si>
    <t>2023-05-20</t>
  </si>
  <si>
    <t>TX00604</t>
  </si>
  <si>
    <t>TX00603</t>
  </si>
  <si>
    <t>2023-05-21</t>
  </si>
  <si>
    <t>TX00605</t>
  </si>
  <si>
    <t>2023-05-22</t>
  </si>
  <si>
    <t>TX00606</t>
  </si>
  <si>
    <t>2023-05-23</t>
  </si>
  <si>
    <t>TX00607</t>
  </si>
  <si>
    <t>TX00608</t>
  </si>
  <si>
    <t>2023-05-24</t>
  </si>
  <si>
    <t>TX00609</t>
  </si>
  <si>
    <t>2023-05-25</t>
  </si>
  <si>
    <t>TX00610</t>
  </si>
  <si>
    <t>2023-05-26</t>
  </si>
  <si>
    <t>TX00611</t>
  </si>
  <si>
    <t>2023-05-27</t>
  </si>
  <si>
    <t>TX00612</t>
  </si>
  <si>
    <t>TX00613</t>
  </si>
  <si>
    <t>2023-05-28</t>
  </si>
  <si>
    <t>TX00614</t>
  </si>
  <si>
    <t>2023-05-29</t>
  </si>
  <si>
    <t>TX00615</t>
  </si>
  <si>
    <t>2023-05-30</t>
  </si>
  <si>
    <t>TX00616</t>
  </si>
  <si>
    <t>2023-05-31</t>
  </si>
  <si>
    <t>TX00617</t>
  </si>
  <si>
    <t>2023-06-01</t>
  </si>
  <si>
    <t>TX00618</t>
  </si>
  <si>
    <t>2023-06-02</t>
  </si>
  <si>
    <t>TX00619</t>
  </si>
  <si>
    <t>2023-06-03</t>
  </si>
  <si>
    <t>TX00620</t>
  </si>
  <si>
    <t>2023-06-04</t>
  </si>
  <si>
    <t>TX00621</t>
  </si>
  <si>
    <t>TX00622</t>
  </si>
  <si>
    <t>2023-06-05</t>
  </si>
  <si>
    <t>TX00623</t>
  </si>
  <si>
    <t>2023-06-06</t>
  </si>
  <si>
    <t>TX00624</t>
  </si>
  <si>
    <t>2023-06-07</t>
  </si>
  <si>
    <t>TX00625</t>
  </si>
  <si>
    <t>2023-06-08</t>
  </si>
  <si>
    <t>TX00626</t>
  </si>
  <si>
    <t>2023-06-09</t>
  </si>
  <si>
    <t>TX00627</t>
  </si>
  <si>
    <t>2023-06-10</t>
  </si>
  <si>
    <t>TX00628</t>
  </si>
  <si>
    <t>2023-06-11</t>
  </si>
  <si>
    <t>TX00629</t>
  </si>
  <si>
    <t>2023-06-12</t>
  </si>
  <si>
    <t>TX00631</t>
  </si>
  <si>
    <t>TX00630</t>
  </si>
  <si>
    <t>2023-06-13</t>
  </si>
  <si>
    <t>TX00632</t>
  </si>
  <si>
    <t>2023-06-14</t>
  </si>
  <si>
    <t>TX00633</t>
  </si>
  <si>
    <t>2023-06-15</t>
  </si>
  <si>
    <t>TX00634</t>
  </si>
  <si>
    <t>TX00635</t>
  </si>
  <si>
    <t>2023-06-16</t>
  </si>
  <si>
    <t>TX00636</t>
  </si>
  <si>
    <t>TX00637</t>
  </si>
  <si>
    <t>2023-06-17</t>
  </si>
  <si>
    <t>TX00638</t>
  </si>
  <si>
    <t>2023-06-18</t>
  </si>
  <si>
    <t>TX00639</t>
  </si>
  <si>
    <t>2023-06-19</t>
  </si>
  <si>
    <t>TX00640</t>
  </si>
  <si>
    <t>TX00641</t>
  </si>
  <si>
    <t>2023-06-20</t>
  </si>
  <si>
    <t>TX00642</t>
  </si>
  <si>
    <t>2023-06-21</t>
  </si>
  <si>
    <t>TX00643</t>
  </si>
  <si>
    <t>2023-06-22</t>
  </si>
  <si>
    <t>TX00644</t>
  </si>
  <si>
    <t>2023-06-23</t>
  </si>
  <si>
    <t>TX00645</t>
  </si>
  <si>
    <t>TX00646</t>
  </si>
  <si>
    <t>2023-06-24</t>
  </si>
  <si>
    <t>TX00647</t>
  </si>
  <si>
    <t>2023-06-25</t>
  </si>
  <si>
    <t>TX00648</t>
  </si>
  <si>
    <t>2023-06-26</t>
  </si>
  <si>
    <t>TX00649</t>
  </si>
  <si>
    <t>2023-06-27</t>
  </si>
  <si>
    <t>TX00650</t>
  </si>
  <si>
    <t>2023-06-28</t>
  </si>
  <si>
    <t>TX00651</t>
  </si>
  <si>
    <t>2023-06-29</t>
  </si>
  <si>
    <t>TX00652</t>
  </si>
  <si>
    <t>2023-06-30</t>
  </si>
  <si>
    <t>TX00653</t>
  </si>
  <si>
    <t>2023-07-01</t>
  </si>
  <si>
    <t>TX00654</t>
  </si>
  <si>
    <t>2023-07-02</t>
  </si>
  <si>
    <t>TX00655</t>
  </si>
  <si>
    <t>2023-07-03</t>
  </si>
  <si>
    <t>TX00656</t>
  </si>
  <si>
    <t>2023-07-04</t>
  </si>
  <si>
    <t>TX00657</t>
  </si>
  <si>
    <t>2023-07-05</t>
  </si>
  <si>
    <t>TX00658</t>
  </si>
  <si>
    <t>2023-07-06</t>
  </si>
  <si>
    <t>TX00659</t>
  </si>
  <si>
    <t>2023-07-07</t>
  </si>
  <si>
    <t>TX00660</t>
  </si>
  <si>
    <t>2023-07-08</t>
  </si>
  <si>
    <t>TX00661</t>
  </si>
  <si>
    <t>TX00662</t>
  </si>
  <si>
    <t>2023-07-09</t>
  </si>
  <si>
    <t>TX00663</t>
  </si>
  <si>
    <t>2023-07-10</t>
  </si>
  <si>
    <t>TX00664</t>
  </si>
  <si>
    <t>2023-07-11</t>
  </si>
  <si>
    <t>TX00665</t>
  </si>
  <si>
    <t>2023-07-12</t>
  </si>
  <si>
    <t>TX00666</t>
  </si>
  <si>
    <t>2023-07-13</t>
  </si>
  <si>
    <t>TX00667</t>
  </si>
  <si>
    <t>TX00668</t>
  </si>
  <si>
    <t>2023-07-14</t>
  </si>
  <si>
    <t>TX00669</t>
  </si>
  <si>
    <t>TX00670</t>
  </si>
  <si>
    <t>2023-07-15</t>
  </si>
  <si>
    <t>TX00671</t>
  </si>
  <si>
    <t>2023-07-16</t>
  </si>
  <si>
    <t>TX00672</t>
  </si>
  <si>
    <t>2023-07-17</t>
  </si>
  <si>
    <t>TX00673</t>
  </si>
  <si>
    <t>2023-07-18</t>
  </si>
  <si>
    <t>TX00674</t>
  </si>
  <si>
    <t>2023-07-19</t>
  </si>
  <si>
    <t>TX00675</t>
  </si>
  <si>
    <t>2023-07-20</t>
  </si>
  <si>
    <t>TX00676</t>
  </si>
  <si>
    <t>2023-07-21</t>
  </si>
  <si>
    <t>TX00677</t>
  </si>
  <si>
    <t>2023-07-22</t>
  </si>
  <si>
    <t>TX00678</t>
  </si>
  <si>
    <t>2023-07-23</t>
  </si>
  <si>
    <t>TX00679</t>
  </si>
  <si>
    <t>2023-07-24</t>
  </si>
  <si>
    <t>TX00680</t>
  </si>
  <si>
    <t>TX00681</t>
  </si>
  <si>
    <t>2023-07-25</t>
  </si>
  <si>
    <t>TX00682</t>
  </si>
  <si>
    <t>2023-07-26</t>
  </si>
  <si>
    <t>TX00683</t>
  </si>
  <si>
    <t>2023-07-27</t>
  </si>
  <si>
    <t>TX00685</t>
  </si>
  <si>
    <t>TX00684</t>
  </si>
  <si>
    <t>2023-07-28</t>
  </si>
  <si>
    <t>TX00686</t>
  </si>
  <si>
    <t>TX00687</t>
  </si>
  <si>
    <t>2023-07-29</t>
  </si>
  <si>
    <t>TX00688</t>
  </si>
  <si>
    <t>2023-07-30</t>
  </si>
  <si>
    <t>TX00689</t>
  </si>
  <si>
    <t>2023-07-31</t>
  </si>
  <si>
    <t>TX00690</t>
  </si>
  <si>
    <t>2023-08-01</t>
  </si>
  <si>
    <t>TX00691</t>
  </si>
  <si>
    <t>2023-08-02</t>
  </si>
  <si>
    <t>TX00692</t>
  </si>
  <si>
    <t>2023-08-03</t>
  </si>
  <si>
    <t>TX00693</t>
  </si>
  <si>
    <t>2023-08-04</t>
  </si>
  <si>
    <t>TX00694</t>
  </si>
  <si>
    <t>2023-08-05</t>
  </si>
  <si>
    <t>TX00695</t>
  </si>
  <si>
    <t>2023-08-06</t>
  </si>
  <si>
    <t>TX00696</t>
  </si>
  <si>
    <t>TX00697</t>
  </si>
  <si>
    <t>2023-08-07</t>
  </si>
  <si>
    <t>TX00699</t>
  </si>
  <si>
    <t>TX00698</t>
  </si>
  <si>
    <t>2023-08-08</t>
  </si>
  <si>
    <t>TX00700</t>
  </si>
  <si>
    <t>2023-08-09</t>
  </si>
  <si>
    <t>TX00701</t>
  </si>
  <si>
    <t>2023-08-10</t>
  </si>
  <si>
    <t>TX00702</t>
  </si>
  <si>
    <t>2023-08-11</t>
  </si>
  <si>
    <t>TX00703</t>
  </si>
  <si>
    <t>2023-08-12</t>
  </si>
  <si>
    <t>TX00704</t>
  </si>
  <si>
    <t>2023-08-13</t>
  </si>
  <si>
    <t>TX00705</t>
  </si>
  <si>
    <t>2023-08-14</t>
  </si>
  <si>
    <t>TX00706</t>
  </si>
  <si>
    <t>2023-08-15</t>
  </si>
  <si>
    <t>TX00707</t>
  </si>
  <si>
    <t>2023-08-16</t>
  </si>
  <si>
    <t>TX00708</t>
  </si>
  <si>
    <t>2023-08-17</t>
  </si>
  <si>
    <t>TX00709</t>
  </si>
  <si>
    <t>2023-08-18</t>
  </si>
  <si>
    <t>TX00710</t>
  </si>
  <si>
    <t>2023-08-19</t>
  </si>
  <si>
    <t>TX00712</t>
  </si>
  <si>
    <t>TX00711</t>
  </si>
  <si>
    <t>2023-08-20</t>
  </si>
  <si>
    <t>TX00713</t>
  </si>
  <si>
    <t>2023-08-21</t>
  </si>
  <si>
    <t>TX00714</t>
  </si>
  <si>
    <t>2023-08-22</t>
  </si>
  <si>
    <t>TX00715</t>
  </si>
  <si>
    <t>2023-08-23</t>
  </si>
  <si>
    <t>TX00716</t>
  </si>
  <si>
    <t>2023-08-24</t>
  </si>
  <si>
    <t>TX00717</t>
  </si>
  <si>
    <t>2023-08-25</t>
  </si>
  <si>
    <t>TX00718</t>
  </si>
  <si>
    <t>2023-08-26</t>
  </si>
  <si>
    <t>TX00719</t>
  </si>
  <si>
    <t>TX00720</t>
  </si>
  <si>
    <t>2023-08-27</t>
  </si>
  <si>
    <t>TX00721</t>
  </si>
  <si>
    <t>2023-08-28</t>
  </si>
  <si>
    <t>TX00722</t>
  </si>
  <si>
    <t>2023-08-29</t>
  </si>
  <si>
    <t>TX00723</t>
  </si>
  <si>
    <t>2023-08-30</t>
  </si>
  <si>
    <t>TX00724</t>
  </si>
  <si>
    <t>2023-08-31</t>
  </si>
  <si>
    <t>TX00725</t>
  </si>
  <si>
    <t>2023-09-01</t>
  </si>
  <si>
    <t>TX00726</t>
  </si>
  <si>
    <t>TX00727</t>
  </si>
  <si>
    <t>2023-09-02</t>
  </si>
  <si>
    <t>TX00728</t>
  </si>
  <si>
    <t>TX00729</t>
  </si>
  <si>
    <t>2023-09-03</t>
  </si>
  <si>
    <t>TX00730</t>
  </si>
  <si>
    <t>2023-09-04</t>
  </si>
  <si>
    <t>TX00731</t>
  </si>
  <si>
    <t>2023-09-05</t>
  </si>
  <si>
    <t>TX00732</t>
  </si>
  <si>
    <t>2023-09-06</t>
  </si>
  <si>
    <t>TX00733</t>
  </si>
  <si>
    <t>TX00734</t>
  </si>
  <si>
    <t>2023-09-07</t>
  </si>
  <si>
    <t>TX00735</t>
  </si>
  <si>
    <t>TX00736</t>
  </si>
  <si>
    <t>2023-09-08</t>
  </si>
  <si>
    <t>TX00737</t>
  </si>
  <si>
    <t>2023-09-09</t>
  </si>
  <si>
    <t>TX00738</t>
  </si>
  <si>
    <t>2023-09-10</t>
  </si>
  <si>
    <t>TX00739</t>
  </si>
  <si>
    <t>2023-09-11</t>
  </si>
  <si>
    <t>TX00740</t>
  </si>
  <si>
    <t>2023-09-12</t>
  </si>
  <si>
    <t>TX00741</t>
  </si>
  <si>
    <t>2023-09-13</t>
  </si>
  <si>
    <t>TX00742</t>
  </si>
  <si>
    <t>2023-09-14</t>
  </si>
  <si>
    <t>TX00743</t>
  </si>
  <si>
    <t>2023-09-15</t>
  </si>
  <si>
    <t>TX00744</t>
  </si>
  <si>
    <t>2023-09-16</t>
  </si>
  <si>
    <t>TX00745</t>
  </si>
  <si>
    <t>2023-09-17</t>
  </si>
  <si>
    <t>TX00746</t>
  </si>
  <si>
    <t>2023-09-18</t>
  </si>
  <si>
    <t>TX00747</t>
  </si>
  <si>
    <t>2023-09-19</t>
  </si>
  <si>
    <t>TX00748</t>
  </si>
  <si>
    <t>2023-09-20</t>
  </si>
  <si>
    <t>TX00749</t>
  </si>
  <si>
    <t>2023-09-21</t>
  </si>
  <si>
    <t>TX00751</t>
  </si>
  <si>
    <t>TX00750</t>
  </si>
  <si>
    <t>2023-09-22</t>
  </si>
  <si>
    <t>TX00752</t>
  </si>
  <si>
    <t>2023-09-23</t>
  </si>
  <si>
    <t>TX00753</t>
  </si>
  <si>
    <t>2023-09-24</t>
  </si>
  <si>
    <t>TX00754</t>
  </si>
  <si>
    <t>2023-09-25</t>
  </si>
  <si>
    <t>TX00755</t>
  </si>
  <si>
    <t>TX00756</t>
  </si>
  <si>
    <t>2023-09-26</t>
  </si>
  <si>
    <t>TX00757</t>
  </si>
  <si>
    <t>2023-09-27</t>
  </si>
  <si>
    <t>TX00758</t>
  </si>
  <si>
    <t>2023-09-28</t>
  </si>
  <si>
    <t>TX00759</t>
  </si>
  <si>
    <t>2023-09-29</t>
  </si>
  <si>
    <t>TX00760</t>
  </si>
  <si>
    <t>TX00761</t>
  </si>
  <si>
    <t>2023-09-30</t>
  </si>
  <si>
    <t>TX00762</t>
  </si>
  <si>
    <t>2023-10-01</t>
  </si>
  <si>
    <t>TX00763</t>
  </si>
  <si>
    <t>2023-10-02</t>
  </si>
  <si>
    <t>TX00764</t>
  </si>
  <si>
    <t>2023-10-03</t>
  </si>
  <si>
    <t>TX00765</t>
  </si>
  <si>
    <t>2023-10-04</t>
  </si>
  <si>
    <t>TX00767</t>
  </si>
  <si>
    <t>TX00766</t>
  </si>
  <si>
    <t>2023-10-05</t>
  </si>
  <si>
    <t>TX00768</t>
  </si>
  <si>
    <t>2023-10-06</t>
  </si>
  <si>
    <t>TX00769</t>
  </si>
  <si>
    <t>2023-10-07</t>
  </si>
  <si>
    <t>TX00770</t>
  </si>
  <si>
    <t>2023-10-08</t>
  </si>
  <si>
    <t>TX00771</t>
  </si>
  <si>
    <t>2023-10-09</t>
  </si>
  <si>
    <t>TX00772</t>
  </si>
  <si>
    <t>2023-10-10</t>
  </si>
  <si>
    <t>TX00773</t>
  </si>
  <si>
    <t>2023-10-11</t>
  </si>
  <si>
    <t>TX00774</t>
  </si>
  <si>
    <t>2023-10-12</t>
  </si>
  <si>
    <t>TX00775</t>
  </si>
  <si>
    <t>2023-10-13</t>
  </si>
  <si>
    <t>TX00776</t>
  </si>
  <si>
    <t>TX00777</t>
  </si>
  <si>
    <t>2023-10-14</t>
  </si>
  <si>
    <t>TX00778</t>
  </si>
  <si>
    <t>2023-10-15</t>
  </si>
  <si>
    <t>TX00779</t>
  </si>
  <si>
    <t>2023-10-16</t>
  </si>
  <si>
    <t>TX00780</t>
  </si>
  <si>
    <t>2023-10-17</t>
  </si>
  <si>
    <t>TX00781</t>
  </si>
  <si>
    <t>2023-10-18</t>
  </si>
  <si>
    <t>TX00782</t>
  </si>
  <si>
    <t>TX00783</t>
  </si>
  <si>
    <t>2023-10-19</t>
  </si>
  <si>
    <t>TX00784</t>
  </si>
  <si>
    <t>2023-10-20</t>
  </si>
  <si>
    <t>TX00785</t>
  </si>
  <si>
    <t>2023-10-21</t>
  </si>
  <si>
    <t>TX00786</t>
  </si>
  <si>
    <t>TX00787</t>
  </si>
  <si>
    <t>2023-10-22</t>
  </si>
  <si>
    <t>TX00788</t>
  </si>
  <si>
    <t>2023-10-23</t>
  </si>
  <si>
    <t>TX00789</t>
  </si>
  <si>
    <t>2023-10-24</t>
  </si>
  <si>
    <t>TX00790</t>
  </si>
  <si>
    <t>2023-10-25</t>
  </si>
  <si>
    <t>TX00791</t>
  </si>
  <si>
    <t>2023-10-26</t>
  </si>
  <si>
    <t>TX00793</t>
  </si>
  <si>
    <t>TX00792</t>
  </si>
  <si>
    <t>2023-10-27</t>
  </si>
  <si>
    <t>TX00794</t>
  </si>
  <si>
    <t>2023-10-28</t>
  </si>
  <si>
    <t>TX00795</t>
  </si>
  <si>
    <t>TX00796</t>
  </si>
  <si>
    <t>2023-10-29</t>
  </si>
  <si>
    <t>TX00797</t>
  </si>
  <si>
    <t>2023-10-30</t>
  </si>
  <si>
    <t>TX00798</t>
  </si>
  <si>
    <t>2023-10-31</t>
  </si>
  <si>
    <t>TX00799</t>
  </si>
  <si>
    <t>2023-11-01</t>
  </si>
  <si>
    <t>TX00800</t>
  </si>
  <si>
    <t>2023-11-02</t>
  </si>
  <si>
    <t>TX00801</t>
  </si>
  <si>
    <t>2023-11-03</t>
  </si>
  <si>
    <t>TX00802</t>
  </si>
  <si>
    <t>2023-11-04</t>
  </si>
  <si>
    <t>TX00803</t>
  </si>
  <si>
    <t>2023-11-05</t>
  </si>
  <si>
    <t>TX00804</t>
  </si>
  <si>
    <t>2023-11-06</t>
  </si>
  <si>
    <t>TX00805</t>
  </si>
  <si>
    <t>2023-11-07</t>
  </si>
  <si>
    <t>TX00806</t>
  </si>
  <si>
    <t>2023-11-08</t>
  </si>
  <si>
    <t>TX00807</t>
  </si>
  <si>
    <t>TX00808</t>
  </si>
  <si>
    <t>2023-11-09</t>
  </si>
  <si>
    <t>TX00809</t>
  </si>
  <si>
    <t>TX00810</t>
  </si>
  <si>
    <t>2023-11-10</t>
  </si>
  <si>
    <t>TX00811</t>
  </si>
  <si>
    <t>TX00812</t>
  </si>
  <si>
    <t>2023-11-11</t>
  </si>
  <si>
    <t>TX00813</t>
  </si>
  <si>
    <t>2023-11-12</t>
  </si>
  <si>
    <t>TX00814</t>
  </si>
  <si>
    <t>2023-11-13</t>
  </si>
  <si>
    <t>TX00815</t>
  </si>
  <si>
    <t>2023-11-14</t>
  </si>
  <si>
    <t>TX00816</t>
  </si>
  <si>
    <t>TX00817</t>
  </si>
  <si>
    <t>2023-11-15</t>
  </si>
  <si>
    <t>TX00818</t>
  </si>
  <si>
    <t>2023-11-16</t>
  </si>
  <si>
    <t>TX00819</t>
  </si>
  <si>
    <t>2023-11-17</t>
  </si>
  <si>
    <t>TX00821</t>
  </si>
  <si>
    <t>TX00820</t>
  </si>
  <si>
    <t>2023-11-18</t>
  </si>
  <si>
    <t>TX00822</t>
  </si>
  <si>
    <t>2023-11-19</t>
  </si>
  <si>
    <t>TX00823</t>
  </si>
  <si>
    <t>2023-11-20</t>
  </si>
  <si>
    <t>TX00824</t>
  </si>
  <si>
    <t>2023-11-21</t>
  </si>
  <si>
    <t>TX00825</t>
  </si>
  <si>
    <t>2023-11-22</t>
  </si>
  <si>
    <t>TX00826</t>
  </si>
  <si>
    <t>2023-11-23</t>
  </si>
  <si>
    <t>TX00827</t>
  </si>
  <si>
    <t>2023-11-24</t>
  </si>
  <si>
    <t>TX00828</t>
  </si>
  <si>
    <t>2023-11-25</t>
  </si>
  <si>
    <t>TX00829</t>
  </si>
  <si>
    <t>2023-11-26</t>
  </si>
  <si>
    <t>TX00830</t>
  </si>
  <si>
    <t>2023-11-27</t>
  </si>
  <si>
    <t>TX00831</t>
  </si>
  <si>
    <t>TX00832</t>
  </si>
  <si>
    <t>2023-11-28</t>
  </si>
  <si>
    <t>TX00834</t>
  </si>
  <si>
    <t>TX00833</t>
  </si>
  <si>
    <t>2023-11-29</t>
  </si>
  <si>
    <t>TX00835</t>
  </si>
  <si>
    <t>2023-11-30</t>
  </si>
  <si>
    <t>TX00836</t>
  </si>
  <si>
    <t>TX00837</t>
  </si>
  <si>
    <t>2023-12-01</t>
  </si>
  <si>
    <t>TX00838</t>
  </si>
  <si>
    <t>TX00839</t>
  </si>
  <si>
    <t>2023-12-02</t>
  </si>
  <si>
    <t>TX00840</t>
  </si>
  <si>
    <t>2023-12-03</t>
  </si>
  <si>
    <t>TX00841</t>
  </si>
  <si>
    <t>2023-12-04</t>
  </si>
  <si>
    <t>TX00842</t>
  </si>
  <si>
    <t>2023-12-05</t>
  </si>
  <si>
    <t>TX00843</t>
  </si>
  <si>
    <t>2023-12-06</t>
  </si>
  <si>
    <t>TX00844</t>
  </si>
  <si>
    <t>TX00845</t>
  </si>
  <si>
    <t>2023-12-07</t>
  </si>
  <si>
    <t>TX00846</t>
  </si>
  <si>
    <t>2023-12-08</t>
  </si>
  <si>
    <t>TX00847</t>
  </si>
  <si>
    <t>2023-12-09</t>
  </si>
  <si>
    <t>TX00848</t>
  </si>
  <si>
    <t>TX00849</t>
  </si>
  <si>
    <t>2023-12-10</t>
  </si>
  <si>
    <t>TX00850</t>
  </si>
  <si>
    <t>2023-12-11</t>
  </si>
  <si>
    <t>TX00851</t>
  </si>
  <si>
    <t>2023-12-12</t>
  </si>
  <si>
    <t>TX00852</t>
  </si>
  <si>
    <t>2023-12-13</t>
  </si>
  <si>
    <t>TX00853</t>
  </si>
  <si>
    <t>2023-12-14</t>
  </si>
  <si>
    <t>TX00854</t>
  </si>
  <si>
    <t>2023-12-15</t>
  </si>
  <si>
    <t>TX00855</t>
  </si>
  <si>
    <t>2023-12-16</t>
  </si>
  <si>
    <t>TX00856</t>
  </si>
  <si>
    <t>2023-12-17</t>
  </si>
  <si>
    <t>TX00858</t>
  </si>
  <si>
    <t>TX00857</t>
  </si>
  <si>
    <t>2023-12-18</t>
  </si>
  <si>
    <t>TX00859</t>
  </si>
  <si>
    <t>TX00860</t>
  </si>
  <si>
    <t>2023-12-19</t>
  </si>
  <si>
    <t>TX00861</t>
  </si>
  <si>
    <t>2023-12-20</t>
  </si>
  <si>
    <t>TX00862</t>
  </si>
  <si>
    <t>2023-12-21</t>
  </si>
  <si>
    <t>TX00863</t>
  </si>
  <si>
    <t>2023-12-22</t>
  </si>
  <si>
    <t>TX00864</t>
  </si>
  <si>
    <t>TX00865</t>
  </si>
  <si>
    <t>2023-12-23</t>
  </si>
  <si>
    <t>TX00866</t>
  </si>
  <si>
    <t>TX00867</t>
  </si>
  <si>
    <t>2023-12-24</t>
  </si>
  <si>
    <t>TX00868</t>
  </si>
  <si>
    <t>2023-12-25</t>
  </si>
  <si>
    <t>TX00869</t>
  </si>
  <si>
    <t>2023-12-26</t>
  </si>
  <si>
    <t>TX00870</t>
  </si>
  <si>
    <t>2023-12-27</t>
  </si>
  <si>
    <t>TX00871</t>
  </si>
  <si>
    <t>TX00872</t>
  </si>
  <si>
    <t>2023-12-28</t>
  </si>
  <si>
    <t>TX00874</t>
  </si>
  <si>
    <t>TX00873</t>
  </si>
  <si>
    <t>2023-12-29</t>
  </si>
  <si>
    <t>TX00875</t>
  </si>
  <si>
    <t>2023-12-30</t>
  </si>
  <si>
    <t>TX00876</t>
  </si>
  <si>
    <t>2023-12-31</t>
  </si>
  <si>
    <t>TX00877</t>
  </si>
  <si>
    <t>SC00001</t>
  </si>
  <si>
    <t>Transfer from Main</t>
  </si>
  <si>
    <t>Transfer</t>
  </si>
  <si>
    <t>SC00002</t>
  </si>
  <si>
    <t>Payroll Funding</t>
  </si>
  <si>
    <t>Payroll</t>
  </si>
  <si>
    <t>SC00003</t>
  </si>
  <si>
    <t>SC00004</t>
  </si>
  <si>
    <t>SC00005</t>
  </si>
  <si>
    <t>SC00006</t>
  </si>
  <si>
    <t>SC00007</t>
  </si>
  <si>
    <t>SC00008</t>
  </si>
  <si>
    <t>SC00009</t>
  </si>
  <si>
    <t>SC00010</t>
  </si>
  <si>
    <t>SC00011</t>
  </si>
  <si>
    <t>SC00012</t>
  </si>
  <si>
    <t>SC00013</t>
  </si>
  <si>
    <t>SC00014</t>
  </si>
  <si>
    <t>SC00015</t>
  </si>
  <si>
    <t>SC00016</t>
  </si>
  <si>
    <t>SC00017</t>
  </si>
  <si>
    <t>SC00018</t>
  </si>
  <si>
    <t>SC00019</t>
  </si>
  <si>
    <t>SC00020</t>
  </si>
  <si>
    <t>SC00021</t>
  </si>
  <si>
    <t>SC00022</t>
  </si>
  <si>
    <t>SC00023</t>
  </si>
  <si>
    <t>SC00024</t>
  </si>
  <si>
    <t>SC00025</t>
  </si>
  <si>
    <t>SC00026</t>
  </si>
  <si>
    <t>SC00027</t>
  </si>
  <si>
    <t>SC00028</t>
  </si>
  <si>
    <t>SC00029</t>
  </si>
  <si>
    <t>SC00030</t>
  </si>
  <si>
    <t>SC00031</t>
  </si>
  <si>
    <t>SC00032</t>
  </si>
  <si>
    <t>SC00033</t>
  </si>
  <si>
    <t>SC00034</t>
  </si>
  <si>
    <t>SC00035</t>
  </si>
  <si>
    <t>SC00036</t>
  </si>
  <si>
    <t>SC00037</t>
  </si>
  <si>
    <t>SC00038</t>
  </si>
  <si>
    <t>SC00039</t>
  </si>
  <si>
    <t>SC00040</t>
  </si>
  <si>
    <t>SC00041</t>
  </si>
  <si>
    <t>SC00042</t>
  </si>
  <si>
    <t>SC00043</t>
  </si>
  <si>
    <t>SC00044</t>
  </si>
  <si>
    <t>SC00045</t>
  </si>
  <si>
    <t>SC00046</t>
  </si>
  <si>
    <t>SC00047</t>
  </si>
  <si>
    <t>SC00048</t>
  </si>
  <si>
    <t>vendor</t>
  </si>
  <si>
    <t>is_purchase</t>
  </si>
  <si>
    <t>is_payment</t>
  </si>
  <si>
    <t>CC00001</t>
  </si>
  <si>
    <t>Utility Company</t>
  </si>
  <si>
    <t>Supplies</t>
  </si>
  <si>
    <t>CC00002</t>
  </si>
  <si>
    <t>Facebook Ads</t>
  </si>
  <si>
    <t>Other</t>
  </si>
  <si>
    <t>CC00003</t>
  </si>
  <si>
    <t>Payment to CC</t>
  </si>
  <si>
    <t>Payment</t>
  </si>
  <si>
    <t>CC00004</t>
  </si>
  <si>
    <t>Marketing</t>
  </si>
  <si>
    <t>CC00005</t>
  </si>
  <si>
    <t>Local Print Shop</t>
  </si>
  <si>
    <t>CC00006</t>
  </si>
  <si>
    <t>CC00007</t>
  </si>
  <si>
    <t>Coffee Supplier</t>
  </si>
  <si>
    <t>Utilities</t>
  </si>
  <si>
    <t>CC00008</t>
  </si>
  <si>
    <t>CC00009</t>
  </si>
  <si>
    <t>CC00010</t>
  </si>
  <si>
    <t>CC00011</t>
  </si>
  <si>
    <t>CC00012</t>
  </si>
  <si>
    <t>CC00013</t>
  </si>
  <si>
    <t>CC00014</t>
  </si>
  <si>
    <t>CC00015</t>
  </si>
  <si>
    <t>CC00016</t>
  </si>
  <si>
    <t>CC00017</t>
  </si>
  <si>
    <t>CC00018</t>
  </si>
  <si>
    <t>CC00019</t>
  </si>
  <si>
    <t>CC00020</t>
  </si>
  <si>
    <t>CC00021</t>
  </si>
  <si>
    <t>CC00022</t>
  </si>
  <si>
    <t>CC00023</t>
  </si>
  <si>
    <t>CC00024</t>
  </si>
  <si>
    <t>CC00025</t>
  </si>
  <si>
    <t>CC00026</t>
  </si>
  <si>
    <t>CC00027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</si>
  <si>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</si>
  <si>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</si>
  <si>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</si>
  <si>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</si>
  <si>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</si>
  <si>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</si>
  <si>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</si>
  <si>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</si>
  <si>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</si>
  <si>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</si>
  <si>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CC00038</t>
  </si>
  <si>
    <t>CC00039</t>
  </si>
  <si>
    <t>CC00040</t>
  </si>
  <si>
    <t>CC00041</t>
  </si>
  <si>
    <t>CC00042</t>
  </si>
  <si>
    <t>CC00043</t>
  </si>
  <si>
    <t>CC00044</t>
  </si>
  <si>
    <t>CC00045</t>
  </si>
  <si>
    <t>CC00046</t>
  </si>
  <si>
    <t>CC00047</t>
  </si>
  <si>
    <t>CC00048</t>
  </si>
  <si>
    <t>CC00049</t>
  </si>
  <si>
    <t>CC00050</t>
  </si>
  <si>
    <t>CC00051</t>
  </si>
  <si>
    <t>CC00052</t>
  </si>
  <si>
    <t>CC00053</t>
  </si>
  <si>
    <t>CC00054</t>
  </si>
  <si>
    <t>CC00055</t>
  </si>
  <si>
    <t>CC00056</t>
  </si>
  <si>
    <t>CC00057</t>
  </si>
  <si>
    <t>CC00058</t>
  </si>
  <si>
    <t>CC00059</t>
  </si>
  <si>
    <t>CC00060</t>
  </si>
  <si>
    <t>CC00061</t>
  </si>
  <si>
    <t>CC00062</t>
  </si>
  <si>
    <t>CC00063</t>
  </si>
  <si>
    <t>CC00064</t>
  </si>
  <si>
    <t>CC00065</t>
  </si>
  <si>
    <t>CC00066</t>
  </si>
  <si>
    <t>CC00067</t>
  </si>
  <si>
    <t>CC00068</t>
  </si>
  <si>
    <t>CC00069</t>
  </si>
  <si>
    <t>CC00070</t>
  </si>
  <si>
    <t>CC00071</t>
  </si>
  <si>
    <t>CC00072</t>
  </si>
  <si>
    <t>CC00073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</si>
  <si>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</si>
  <si>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</si>
  <si>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</si>
  <si>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</si>
  <si>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</si>
  <si>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</si>
  <si>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</si>
  <si>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</si>
  <si>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</si>
  <si>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</si>
  <si>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</si>
  <si>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</si>
  <si>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</si>
  <si>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</si>
  <si>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</si>
  <si>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</si>
  <si>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</si>
  <si>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</si>
  <si>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</si>
  <si>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</si>
  <si>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</si>
  <si>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</si>
  <si>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</si>
  <si>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</si>
  <si>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</si>
  <si>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</si>
  <si>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</si>
  <si>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</si>
  <si>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</si>
  <si>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</si>
  <si>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</si>
  <si>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</si>
  <si>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</si>
  <si>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</si>
  <si>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</si>
  <si>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</si>
  <si>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</si>
  <si>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</si>
  <si>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</si>
  <si>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</si>
  <si>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</si>
  <si>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</si>
  <si>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CC00116</t>
  </si>
  <si>
    <t>CC00117</t>
  </si>
  <si>
    <t>CC00118</t>
  </si>
  <si>
    <t>CC00119</t>
  </si>
  <si>
    <t>CC00120</t>
  </si>
  <si>
    <t>CC00121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</si>
  <si>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</si>
  <si>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</si>
  <si>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</si>
  <si>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</si>
  <si>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</si>
  <si>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</si>
  <si>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</si>
  <si>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</si>
  <si>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</si>
  <si>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</si>
  <si>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</si>
  <si>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CC00133</t>
  </si>
  <si>
    <t>pay_date</t>
  </si>
  <si>
    <t>employee_id</t>
  </si>
  <si>
    <t>employee_name</t>
  </si>
  <si>
    <t>role</t>
  </si>
  <si>
    <t>account</t>
  </si>
  <si>
    <t>is_employee</t>
  </si>
  <si>
    <t>is_contractor</t>
  </si>
  <si>
    <t>role_category</t>
  </si>
  <si>
    <t>EMP_001</t>
  </si>
  <si>
    <t>Employee_001</t>
  </si>
  <si>
    <t>Barista</t>
  </si>
  <si>
    <t>Employee Pay</t>
  </si>
  <si>
    <t>Checking Secondary</t>
  </si>
  <si>
    <t>EMP_002</t>
  </si>
  <si>
    <t>Employee_002</t>
  </si>
  <si>
    <t>EMP_003</t>
  </si>
  <si>
    <t>Employee_003</t>
  </si>
  <si>
    <t>Manager</t>
  </si>
  <si>
    <t>EMP_004</t>
  </si>
  <si>
    <t>Employee_004</t>
  </si>
  <si>
    <t>Marketing Contractor</t>
  </si>
  <si>
    <t>Contractor Pay</t>
  </si>
  <si>
    <t>Contractor</t>
  </si>
  <si>
    <t>Показатель</t>
  </si>
  <si>
    <t>Значение</t>
  </si>
  <si>
    <t>🏦 ОСНОВНОЙ СЧЕТ</t>
  </si>
  <si>
    <t>Всего поступлений</t>
  </si>
  <si>
    <t>$  582,807.00</t>
  </si>
  <si>
    <t>Всего расходов</t>
  </si>
  <si>
    <t>$   43,199.00</t>
  </si>
  <si>
    <t>Чистый денежный поток</t>
  </si>
  <si>
    <t>$  539,608.00</t>
  </si>
  <si>
    <t>Количество транзакций</t>
  </si>
  <si>
    <t>877</t>
  </si>
  <si>
    <t>💳 КРЕДИТНАЯ КАРТА</t>
  </si>
  <si>
    <t>Всего списаний</t>
  </si>
  <si>
    <t>$   36,797.00</t>
  </si>
  <si>
    <t>Всего платежей</t>
  </si>
  <si>
    <t>$   15,146.00</t>
  </si>
  <si>
    <t>Чистое использование</t>
  </si>
  <si>
    <t>$   21,651.00</t>
  </si>
  <si>
    <t>133</t>
  </si>
  <si>
    <t>👤 ЗАРПЛАТЫ</t>
  </si>
  <si>
    <t>Всего зарплат</t>
  </si>
  <si>
    <t>$  159,854.00</t>
  </si>
  <si>
    <t>Сотрудники</t>
  </si>
  <si>
    <t>$  132,001.00</t>
  </si>
  <si>
    <t>Контракторы</t>
  </si>
  <si>
    <t>$   27,853.00</t>
  </si>
  <si>
    <t>Количество записей</t>
  </si>
  <si>
    <t>92</t>
  </si>
  <si>
    <t>📊 КЛЮЧЕВЫЕ МЕТРИКИ</t>
  </si>
  <si>
    <t>Зарплаты / Доходы</t>
  </si>
  <si>
    <t>27.43%</t>
  </si>
  <si>
    <t>Расходы / Доходы</t>
  </si>
  <si>
    <t>7.41%</t>
  </si>
  <si>
    <t>Всего доходов</t>
  </si>
  <si>
    <t>Чистая прибыль</t>
  </si>
  <si>
    <t>Валовая маржинальность</t>
  </si>
  <si>
    <t>Аренда</t>
  </si>
  <si>
    <t>Год</t>
  </si>
  <si>
    <t>Месяц</t>
  </si>
  <si>
    <t>Доходы</t>
  </si>
  <si>
    <t>Расходы</t>
  </si>
  <si>
    <t>Прибыль</t>
  </si>
  <si>
    <t>Маржинальность %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</si>
  <si>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</si>
  <si>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</si>
  <si>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</si>
  <si>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</si>
  <si>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</si>
  <si>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</si>
  <si>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</si>
  <si>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</si>
  <si>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</si>
  <si>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</si>
  <si>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</si>
  <si>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</si>
  <si>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№ месяца</t>
  </si>
  <si>
    <t>Количество списаний</t>
  </si>
  <si>
    <t>Средняя сумма платежа</t>
  </si>
  <si>
    <t>% покрытия долга</t>
  </si>
  <si>
    <t>Текущий баланс</t>
  </si>
  <si>
    <t>Количесвтоп платежей</t>
  </si>
  <si>
    <t>Средняя сумма списаний</t>
  </si>
  <si>
    <t>Траты по критериям</t>
  </si>
  <si>
    <t>Маркетинг</t>
  </si>
  <si>
    <t>Коммунальные</t>
  </si>
  <si>
    <t>Расходные м-лы</t>
  </si>
  <si>
    <t>Прочее</t>
  </si>
  <si>
    <t>Траты по продавцам</t>
  </si>
  <si>
    <t>Максимальный баланс</t>
  </si>
  <si>
    <t>Минимальный баланс</t>
  </si>
  <si>
    <t>Месяц с макс тратами</t>
  </si>
  <si>
    <t>Общая сумма трат за 2022</t>
  </si>
  <si>
    <t>Общая сумма трат за 2023</t>
  </si>
  <si>
    <t>Общая статистика</t>
  </si>
  <si>
    <t>Всего сотрудникам</t>
  </si>
  <si>
    <t>Всего контракторам</t>
  </si>
  <si>
    <t>Средняя зарплата</t>
  </si>
  <si>
    <t>Кол-во записей</t>
  </si>
  <si>
    <t>Кол-во сотрудников</t>
  </si>
  <si>
    <t>Кол-во контракторов</t>
  </si>
  <si>
    <t>Средняя зп сотрудника</t>
  </si>
  <si>
    <t>Средняя зп контрактора</t>
  </si>
  <si>
    <t>Ежемесячная динамика зарплат</t>
  </si>
  <si>
    <t>Итого</t>
  </si>
  <si>
    <t>% контракторов</t>
  </si>
  <si>
    <t>Итоги по годам</t>
  </si>
  <si>
    <t>Изменение %</t>
  </si>
  <si>
    <t>Средняя сотрудника</t>
  </si>
  <si>
    <t>Средняя контрактора</t>
  </si>
  <si>
    <t>Зарплата по ролям</t>
  </si>
  <si>
    <t>Роль</t>
  </si>
  <si>
    <t>% изменений</t>
  </si>
  <si>
    <t>Зарплаты по сотрудникам</t>
  </si>
  <si>
    <t>Изменение</t>
  </si>
  <si>
    <t>Средняя в месяц</t>
  </si>
  <si>
    <t>Поступления</t>
  </si>
  <si>
    <t>Списания</t>
  </si>
  <si>
    <t>Остаток на счете</t>
  </si>
  <si>
    <t>Кол-во поступллений</t>
  </si>
  <si>
    <t>Кол-во списаний</t>
  </si>
  <si>
    <t>Среднее поступление</t>
  </si>
  <si>
    <t>Среднее списание</t>
  </si>
  <si>
    <t>Ежемесячная динамика</t>
  </si>
  <si>
    <t>Чистый поток</t>
  </si>
  <si>
    <t>Эффективность %</t>
  </si>
  <si>
    <t>Обслуживание</t>
  </si>
  <si>
    <t>Итого расходов:</t>
  </si>
  <si>
    <t>Кол-во доходов</t>
  </si>
  <si>
    <t>Кол-во расходов</t>
  </si>
  <si>
    <t>Средний доход</t>
  </si>
  <si>
    <t>Средний расход</t>
  </si>
  <si>
    <t>Структура расходов</t>
  </si>
  <si>
    <t>Категория</t>
  </si>
  <si>
    <t>Сумма</t>
  </si>
  <si>
    <t>% от расходов</t>
  </si>
  <si>
    <t>Средняя маржинальность</t>
  </si>
  <si>
    <t>Валовая прибыль (2022)</t>
  </si>
  <si>
    <t>Валовая маржинальность (2023)</t>
  </si>
  <si>
    <t>Валовая маржинальность (2022)</t>
  </si>
  <si>
    <t>Валовая прибыль (2023)</t>
  </si>
  <si>
    <t>Manаger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</si>
</sst>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rgb="FF0F1115"/>
      <name val="Consolas"/>
      <family val="3"/>
      <charset val="204"/>
    </font>
    <font>
      <sz val="8"/>
      <name val="Calibri"/>
      <family val="2"/>
      <scheme val="minor"/>
    </font>
    <font>
      <sz val="11"/>
      <color rgb="FF0F1115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0F1115"/>
      <name val="Consolas"/>
      <family val="3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0" fillId="0" borderId="0" xfId="0" quotePrefix="1" applyAlignment="1">
      <alignment wrapText="1"/>
    </xf>
    <xf numFmtId="10" fontId="3" fillId="0" borderId="0" xfId="0" applyNumberFormat="1" applyFont="1"/>
    <xf numFmtId="10" fontId="0" fillId="0" borderId="0" xfId="0" applyNumberFormat="1"/>
    <xf numFmtId="0" fontId="5" fillId="0" borderId="0" xfId="0" applyFont="1"/>
    <xf numFmtId="0" fontId="2" fillId="0" borderId="0" xfId="0" applyFont="1"/>
    <xf numFmtId="10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 applyAlignment="1">
      <alignment horizontal="center"/>
    </xf>
    <xf numFmtId="0" fontId="9" fillId="0" borderId="0" xfId="0" applyFont="1"/>
    <xf numFmtId="0" fontId="1" fillId="0" borderId="0" xfId="0" applyFont="1"/>
    <xf numFmtId="0" fontId="0" fillId="0" borderId="0" xfId="0" applyFill="1" applyAlignment="1"/>
    <xf numFmtId="0" fontId="9" fillId="0" borderId="0" xfId="0" applyFont="1" applyFill="1" applyAlignment="1"/>
    <xf numFmtId="0" fontId="10" fillId="0" borderId="0" xfId="0" applyFont="1"/>
    <xf numFmtId="10" fontId="9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AF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8"/>
  <sheetViews>
    <sheetView topLeftCell="A854" workbookViewId="0">
      <selection activeCell="A869" sqref="A86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802</v>
      </c>
      <c r="G2">
        <v>15802</v>
      </c>
      <c r="H2">
        <v>2022</v>
      </c>
      <c r="I2">
        <v>1</v>
      </c>
      <c r="J2" t="s">
        <v>21</v>
      </c>
      <c r="K2">
        <v>1</v>
      </c>
      <c r="L2" t="s">
        <v>22</v>
      </c>
      <c r="M2">
        <v>5</v>
      </c>
      <c r="N2" t="b">
        <v>1</v>
      </c>
      <c r="O2" t="b">
        <v>0</v>
      </c>
      <c r="P2">
        <v>15802</v>
      </c>
    </row>
    <row r="3" spans="1:16" x14ac:dyDescent="0.3">
      <c r="A3" t="s">
        <v>23</v>
      </c>
      <c r="B3" t="s">
        <v>24</v>
      </c>
      <c r="C3" t="s">
        <v>18</v>
      </c>
      <c r="D3" t="s">
        <v>19</v>
      </c>
      <c r="E3" t="s">
        <v>20</v>
      </c>
      <c r="F3">
        <v>970</v>
      </c>
      <c r="G3">
        <v>16772</v>
      </c>
      <c r="H3">
        <v>2022</v>
      </c>
      <c r="I3">
        <v>1</v>
      </c>
      <c r="J3" t="s">
        <v>21</v>
      </c>
      <c r="K3">
        <v>1</v>
      </c>
      <c r="L3" t="s">
        <v>25</v>
      </c>
      <c r="M3">
        <v>6</v>
      </c>
      <c r="N3" t="b">
        <v>1</v>
      </c>
      <c r="O3" t="b">
        <v>0</v>
      </c>
      <c r="P3">
        <v>16772</v>
      </c>
    </row>
    <row r="4" spans="1:16" x14ac:dyDescent="0.3">
      <c r="A4" t="s">
        <v>26</v>
      </c>
      <c r="B4" t="s">
        <v>27</v>
      </c>
      <c r="C4" t="s">
        <v>18</v>
      </c>
      <c r="D4" t="s">
        <v>19</v>
      </c>
      <c r="E4" t="s">
        <v>20</v>
      </c>
      <c r="F4">
        <v>888</v>
      </c>
      <c r="G4">
        <v>17660</v>
      </c>
      <c r="H4">
        <v>2022</v>
      </c>
      <c r="I4">
        <v>1</v>
      </c>
      <c r="J4" t="s">
        <v>21</v>
      </c>
      <c r="K4">
        <v>1</v>
      </c>
      <c r="L4" t="s">
        <v>28</v>
      </c>
      <c r="M4">
        <v>0</v>
      </c>
      <c r="N4" t="b">
        <v>1</v>
      </c>
      <c r="O4" t="b">
        <v>0</v>
      </c>
      <c r="P4">
        <v>17660</v>
      </c>
    </row>
    <row r="5" spans="1:16" x14ac:dyDescent="0.3">
      <c r="A5" t="s">
        <v>29</v>
      </c>
      <c r="B5" t="s">
        <v>30</v>
      </c>
      <c r="C5" t="s">
        <v>18</v>
      </c>
      <c r="D5" t="s">
        <v>19</v>
      </c>
      <c r="E5" t="s">
        <v>20</v>
      </c>
      <c r="F5">
        <v>821</v>
      </c>
      <c r="G5">
        <v>18481</v>
      </c>
      <c r="H5">
        <v>2022</v>
      </c>
      <c r="I5">
        <v>1</v>
      </c>
      <c r="J5" t="s">
        <v>21</v>
      </c>
      <c r="K5">
        <v>1</v>
      </c>
      <c r="L5" t="s">
        <v>31</v>
      </c>
      <c r="M5">
        <v>1</v>
      </c>
      <c r="N5" t="b">
        <v>1</v>
      </c>
      <c r="O5" t="b">
        <v>0</v>
      </c>
      <c r="P5">
        <v>18481</v>
      </c>
    </row>
    <row r="6" spans="1:16" x14ac:dyDescent="0.3">
      <c r="A6" t="s">
        <v>29</v>
      </c>
      <c r="B6" t="s">
        <v>32</v>
      </c>
      <c r="C6" t="s">
        <v>33</v>
      </c>
      <c r="D6" t="s">
        <v>34</v>
      </c>
      <c r="E6" t="s">
        <v>35</v>
      </c>
      <c r="F6">
        <v>430</v>
      </c>
      <c r="G6">
        <v>18051</v>
      </c>
      <c r="H6">
        <v>2022</v>
      </c>
      <c r="I6">
        <v>1</v>
      </c>
      <c r="J6" t="s">
        <v>21</v>
      </c>
      <c r="K6">
        <v>1</v>
      </c>
      <c r="L6" t="s">
        <v>31</v>
      </c>
      <c r="M6">
        <v>1</v>
      </c>
      <c r="N6" t="b">
        <v>0</v>
      </c>
      <c r="O6" t="b">
        <v>1</v>
      </c>
      <c r="P6">
        <v>18051</v>
      </c>
    </row>
    <row r="7" spans="1:16" x14ac:dyDescent="0.3">
      <c r="A7" t="s">
        <v>36</v>
      </c>
      <c r="B7" t="s">
        <v>37</v>
      </c>
      <c r="C7" t="s">
        <v>18</v>
      </c>
      <c r="D7" t="s">
        <v>19</v>
      </c>
      <c r="E7" t="s">
        <v>20</v>
      </c>
      <c r="F7">
        <v>787</v>
      </c>
      <c r="G7">
        <v>18838</v>
      </c>
      <c r="H7">
        <v>2022</v>
      </c>
      <c r="I7">
        <v>1</v>
      </c>
      <c r="J7" t="s">
        <v>21</v>
      </c>
      <c r="K7">
        <v>1</v>
      </c>
      <c r="L7" t="s">
        <v>38</v>
      </c>
      <c r="M7">
        <v>2</v>
      </c>
      <c r="N7" t="b">
        <v>1</v>
      </c>
      <c r="O7" t="b">
        <v>0</v>
      </c>
      <c r="P7">
        <v>18838</v>
      </c>
    </row>
    <row r="8" spans="1:16" x14ac:dyDescent="0.3">
      <c r="A8" t="s">
        <v>39</v>
      </c>
      <c r="B8" t="s">
        <v>40</v>
      </c>
      <c r="C8" t="s">
        <v>18</v>
      </c>
      <c r="D8" t="s">
        <v>19</v>
      </c>
      <c r="E8" t="s">
        <v>20</v>
      </c>
      <c r="F8">
        <v>1059</v>
      </c>
      <c r="G8">
        <v>19897</v>
      </c>
      <c r="H8">
        <v>2022</v>
      </c>
      <c r="I8">
        <v>1</v>
      </c>
      <c r="J8" t="s">
        <v>21</v>
      </c>
      <c r="K8">
        <v>1</v>
      </c>
      <c r="L8" t="s">
        <v>41</v>
      </c>
      <c r="M8">
        <v>3</v>
      </c>
      <c r="N8" t="b">
        <v>1</v>
      </c>
      <c r="O8" t="b">
        <v>0</v>
      </c>
      <c r="P8">
        <v>19897</v>
      </c>
    </row>
    <row r="9" spans="1:16" x14ac:dyDescent="0.3">
      <c r="A9" t="s">
        <v>42</v>
      </c>
      <c r="B9" t="s">
        <v>43</v>
      </c>
      <c r="C9" t="s">
        <v>18</v>
      </c>
      <c r="D9" t="s">
        <v>19</v>
      </c>
      <c r="E9" t="s">
        <v>20</v>
      </c>
      <c r="F9">
        <v>849</v>
      </c>
      <c r="G9">
        <v>20746</v>
      </c>
      <c r="H9">
        <v>2022</v>
      </c>
      <c r="I9">
        <v>1</v>
      </c>
      <c r="J9" t="s">
        <v>21</v>
      </c>
      <c r="K9">
        <v>1</v>
      </c>
      <c r="L9" t="s">
        <v>44</v>
      </c>
      <c r="M9">
        <v>4</v>
      </c>
      <c r="N9" t="b">
        <v>1</v>
      </c>
      <c r="O9" t="b">
        <v>0</v>
      </c>
      <c r="P9">
        <v>20746</v>
      </c>
    </row>
    <row r="10" spans="1:16" x14ac:dyDescent="0.3">
      <c r="A10" t="s">
        <v>42</v>
      </c>
      <c r="B10" t="s">
        <v>45</v>
      </c>
      <c r="C10" t="s">
        <v>46</v>
      </c>
      <c r="D10" t="s">
        <v>34</v>
      </c>
      <c r="E10" t="s">
        <v>35</v>
      </c>
      <c r="F10">
        <v>443</v>
      </c>
      <c r="G10">
        <v>20303</v>
      </c>
      <c r="H10">
        <v>2022</v>
      </c>
      <c r="I10">
        <v>1</v>
      </c>
      <c r="J10" t="s">
        <v>21</v>
      </c>
      <c r="K10">
        <v>1</v>
      </c>
      <c r="L10" t="s">
        <v>44</v>
      </c>
      <c r="M10">
        <v>4</v>
      </c>
      <c r="N10" t="b">
        <v>0</v>
      </c>
      <c r="O10" t="b">
        <v>1</v>
      </c>
      <c r="P10">
        <v>20303</v>
      </c>
    </row>
    <row r="11" spans="1:16" x14ac:dyDescent="0.3">
      <c r="A11" t="s">
        <v>47</v>
      </c>
      <c r="B11" t="s">
        <v>48</v>
      </c>
      <c r="C11" t="s">
        <v>18</v>
      </c>
      <c r="D11" t="s">
        <v>19</v>
      </c>
      <c r="E11" t="s">
        <v>20</v>
      </c>
      <c r="F11">
        <v>1113</v>
      </c>
      <c r="G11">
        <v>21416</v>
      </c>
      <c r="H11">
        <v>2022</v>
      </c>
      <c r="I11">
        <v>1</v>
      </c>
      <c r="J11" t="s">
        <v>21</v>
      </c>
      <c r="K11">
        <v>1</v>
      </c>
      <c r="L11" t="s">
        <v>22</v>
      </c>
      <c r="M11">
        <v>5</v>
      </c>
      <c r="N11" t="b">
        <v>1</v>
      </c>
      <c r="O11" t="b">
        <v>0</v>
      </c>
      <c r="P11">
        <v>21416</v>
      </c>
    </row>
    <row r="12" spans="1:16" x14ac:dyDescent="0.3">
      <c r="A12" t="s">
        <v>49</v>
      </c>
      <c r="B12" t="s">
        <v>50</v>
      </c>
      <c r="C12" t="s">
        <v>18</v>
      </c>
      <c r="D12" t="s">
        <v>19</v>
      </c>
      <c r="E12" t="s">
        <v>20</v>
      </c>
      <c r="F12">
        <v>891</v>
      </c>
      <c r="G12">
        <v>22307</v>
      </c>
      <c r="H12">
        <v>2022</v>
      </c>
      <c r="I12">
        <v>1</v>
      </c>
      <c r="J12" t="s">
        <v>21</v>
      </c>
      <c r="K12">
        <v>1</v>
      </c>
      <c r="L12" t="s">
        <v>25</v>
      </c>
      <c r="M12">
        <v>6</v>
      </c>
      <c r="N12" t="b">
        <v>1</v>
      </c>
      <c r="O12" t="b">
        <v>0</v>
      </c>
      <c r="P12">
        <v>22307</v>
      </c>
    </row>
    <row r="13" spans="1:16" x14ac:dyDescent="0.3">
      <c r="A13" t="s">
        <v>51</v>
      </c>
      <c r="B13" t="s">
        <v>52</v>
      </c>
      <c r="C13" t="s">
        <v>18</v>
      </c>
      <c r="D13" t="s">
        <v>19</v>
      </c>
      <c r="E13" t="s">
        <v>20</v>
      </c>
      <c r="F13">
        <v>860</v>
      </c>
      <c r="G13">
        <v>23167</v>
      </c>
      <c r="H13">
        <v>2022</v>
      </c>
      <c r="I13">
        <v>1</v>
      </c>
      <c r="J13" t="s">
        <v>21</v>
      </c>
      <c r="K13">
        <v>1</v>
      </c>
      <c r="L13" t="s">
        <v>28</v>
      </c>
      <c r="M13">
        <v>0</v>
      </c>
      <c r="N13" t="b">
        <v>1</v>
      </c>
      <c r="O13" t="b">
        <v>0</v>
      </c>
      <c r="P13">
        <v>23167</v>
      </c>
    </row>
    <row r="14" spans="1:16" x14ac:dyDescent="0.3">
      <c r="A14" t="s">
        <v>53</v>
      </c>
      <c r="B14" t="s">
        <v>54</v>
      </c>
      <c r="C14" t="s">
        <v>55</v>
      </c>
      <c r="D14" t="s">
        <v>56</v>
      </c>
      <c r="E14" t="s">
        <v>35</v>
      </c>
      <c r="F14">
        <v>444</v>
      </c>
      <c r="G14">
        <v>23444</v>
      </c>
      <c r="H14">
        <v>2022</v>
      </c>
      <c r="I14">
        <v>1</v>
      </c>
      <c r="J14" t="s">
        <v>21</v>
      </c>
      <c r="K14">
        <v>1</v>
      </c>
      <c r="L14" t="s">
        <v>31</v>
      </c>
      <c r="M14">
        <v>1</v>
      </c>
      <c r="N14" t="b">
        <v>0</v>
      </c>
      <c r="O14" t="b">
        <v>1</v>
      </c>
      <c r="P14">
        <v>22723</v>
      </c>
    </row>
    <row r="15" spans="1:16" x14ac:dyDescent="0.3">
      <c r="A15" t="s">
        <v>53</v>
      </c>
      <c r="B15" t="s">
        <v>57</v>
      </c>
      <c r="C15" t="s">
        <v>18</v>
      </c>
      <c r="D15" t="s">
        <v>19</v>
      </c>
      <c r="E15" t="s">
        <v>20</v>
      </c>
      <c r="F15">
        <v>721</v>
      </c>
      <c r="G15">
        <v>23888</v>
      </c>
      <c r="H15">
        <v>2022</v>
      </c>
      <c r="I15">
        <v>1</v>
      </c>
      <c r="J15" t="s">
        <v>21</v>
      </c>
      <c r="K15">
        <v>1</v>
      </c>
      <c r="L15" t="s">
        <v>31</v>
      </c>
      <c r="M15">
        <v>1</v>
      </c>
      <c r="N15" t="b">
        <v>1</v>
      </c>
      <c r="O15" t="b">
        <v>0</v>
      </c>
      <c r="P15">
        <v>23444</v>
      </c>
    </row>
    <row r="16" spans="1:16" x14ac:dyDescent="0.3">
      <c r="A16" t="s">
        <v>58</v>
      </c>
      <c r="B16" t="s">
        <v>59</v>
      </c>
      <c r="C16" t="s">
        <v>18</v>
      </c>
      <c r="D16" t="s">
        <v>19</v>
      </c>
      <c r="E16" t="s">
        <v>20</v>
      </c>
      <c r="F16">
        <v>1174</v>
      </c>
      <c r="G16">
        <v>24618</v>
      </c>
      <c r="H16">
        <v>2022</v>
      </c>
      <c r="I16">
        <v>1</v>
      </c>
      <c r="J16" t="s">
        <v>21</v>
      </c>
      <c r="K16">
        <v>1</v>
      </c>
      <c r="L16" t="s">
        <v>38</v>
      </c>
      <c r="M16">
        <v>2</v>
      </c>
      <c r="N16" t="b">
        <v>1</v>
      </c>
      <c r="O16" t="b">
        <v>0</v>
      </c>
      <c r="P16">
        <v>24618</v>
      </c>
    </row>
    <row r="17" spans="1:16" x14ac:dyDescent="0.3">
      <c r="A17" t="s">
        <v>60</v>
      </c>
      <c r="B17" t="s">
        <v>61</v>
      </c>
      <c r="C17" t="s">
        <v>18</v>
      </c>
      <c r="D17" t="s">
        <v>19</v>
      </c>
      <c r="E17" t="s">
        <v>20</v>
      </c>
      <c r="F17">
        <v>869</v>
      </c>
      <c r="G17">
        <v>25487</v>
      </c>
      <c r="H17">
        <v>2022</v>
      </c>
      <c r="I17">
        <v>1</v>
      </c>
      <c r="J17" t="s">
        <v>21</v>
      </c>
      <c r="K17">
        <v>1</v>
      </c>
      <c r="L17" t="s">
        <v>41</v>
      </c>
      <c r="M17">
        <v>3</v>
      </c>
      <c r="N17" t="b">
        <v>1</v>
      </c>
      <c r="O17" t="b">
        <v>0</v>
      </c>
      <c r="P17">
        <v>25487</v>
      </c>
    </row>
    <row r="18" spans="1:16" x14ac:dyDescent="0.3">
      <c r="A18" t="s">
        <v>60</v>
      </c>
      <c r="B18" t="s">
        <v>62</v>
      </c>
      <c r="C18" t="s">
        <v>33</v>
      </c>
      <c r="D18" t="s">
        <v>34</v>
      </c>
      <c r="E18" t="s">
        <v>35</v>
      </c>
      <c r="F18">
        <v>287</v>
      </c>
      <c r="G18">
        <v>25200</v>
      </c>
      <c r="H18">
        <v>2022</v>
      </c>
      <c r="I18">
        <v>1</v>
      </c>
      <c r="J18" t="s">
        <v>21</v>
      </c>
      <c r="K18">
        <v>1</v>
      </c>
      <c r="L18" t="s">
        <v>41</v>
      </c>
      <c r="M18">
        <v>3</v>
      </c>
      <c r="N18" t="b">
        <v>0</v>
      </c>
      <c r="O18" t="b">
        <v>1</v>
      </c>
      <c r="P18">
        <v>25200</v>
      </c>
    </row>
    <row r="19" spans="1:16" x14ac:dyDescent="0.3">
      <c r="A19" t="s">
        <v>63</v>
      </c>
      <c r="B19" t="s">
        <v>64</v>
      </c>
      <c r="C19" t="s">
        <v>18</v>
      </c>
      <c r="D19" t="s">
        <v>19</v>
      </c>
      <c r="E19" t="s">
        <v>20</v>
      </c>
      <c r="F19">
        <v>1063</v>
      </c>
      <c r="G19">
        <v>26263</v>
      </c>
      <c r="H19">
        <v>2022</v>
      </c>
      <c r="I19">
        <v>1</v>
      </c>
      <c r="J19" t="s">
        <v>21</v>
      </c>
      <c r="K19">
        <v>1</v>
      </c>
      <c r="L19" t="s">
        <v>44</v>
      </c>
      <c r="M19">
        <v>4</v>
      </c>
      <c r="N19" t="b">
        <v>1</v>
      </c>
      <c r="O19" t="b">
        <v>0</v>
      </c>
      <c r="P19">
        <v>26263</v>
      </c>
    </row>
    <row r="20" spans="1:16" x14ac:dyDescent="0.3">
      <c r="A20" t="s">
        <v>65</v>
      </c>
      <c r="B20" t="s">
        <v>66</v>
      </c>
      <c r="C20" t="s">
        <v>18</v>
      </c>
      <c r="D20" t="s">
        <v>19</v>
      </c>
      <c r="E20" t="s">
        <v>20</v>
      </c>
      <c r="F20">
        <v>1019</v>
      </c>
      <c r="G20">
        <v>27282</v>
      </c>
      <c r="H20">
        <v>2022</v>
      </c>
      <c r="I20">
        <v>1</v>
      </c>
      <c r="J20" t="s">
        <v>21</v>
      </c>
      <c r="K20">
        <v>1</v>
      </c>
      <c r="L20" t="s">
        <v>22</v>
      </c>
      <c r="M20">
        <v>5</v>
      </c>
      <c r="N20" t="b">
        <v>1</v>
      </c>
      <c r="O20" t="b">
        <v>0</v>
      </c>
      <c r="P20">
        <v>27282</v>
      </c>
    </row>
    <row r="21" spans="1:16" x14ac:dyDescent="0.3">
      <c r="A21" t="s">
        <v>67</v>
      </c>
      <c r="B21" t="s">
        <v>68</v>
      </c>
      <c r="C21" t="s">
        <v>18</v>
      </c>
      <c r="D21" t="s">
        <v>19</v>
      </c>
      <c r="E21" t="s">
        <v>20</v>
      </c>
      <c r="F21">
        <v>1184</v>
      </c>
      <c r="G21">
        <v>28466</v>
      </c>
      <c r="H21">
        <v>2022</v>
      </c>
      <c r="I21">
        <v>1</v>
      </c>
      <c r="J21" t="s">
        <v>21</v>
      </c>
      <c r="K21">
        <v>1</v>
      </c>
      <c r="L21" t="s">
        <v>25</v>
      </c>
      <c r="M21">
        <v>6</v>
      </c>
      <c r="N21" t="b">
        <v>1</v>
      </c>
      <c r="O21" t="b">
        <v>0</v>
      </c>
      <c r="P21">
        <v>28466</v>
      </c>
    </row>
    <row r="22" spans="1:16" x14ac:dyDescent="0.3">
      <c r="A22" t="s">
        <v>69</v>
      </c>
      <c r="B22" t="s">
        <v>70</v>
      </c>
      <c r="C22" t="s">
        <v>18</v>
      </c>
      <c r="D22" t="s">
        <v>19</v>
      </c>
      <c r="E22" t="s">
        <v>20</v>
      </c>
      <c r="F22">
        <v>720</v>
      </c>
      <c r="G22">
        <v>29186</v>
      </c>
      <c r="H22">
        <v>2022</v>
      </c>
      <c r="I22">
        <v>1</v>
      </c>
      <c r="J22" t="s">
        <v>21</v>
      </c>
      <c r="K22">
        <v>1</v>
      </c>
      <c r="L22" t="s">
        <v>28</v>
      </c>
      <c r="M22">
        <v>0</v>
      </c>
      <c r="N22" t="b">
        <v>1</v>
      </c>
      <c r="O22" t="b">
        <v>0</v>
      </c>
      <c r="P22">
        <v>29186</v>
      </c>
    </row>
    <row r="23" spans="1:16" x14ac:dyDescent="0.3">
      <c r="A23" t="s">
        <v>71</v>
      </c>
      <c r="B23" t="s">
        <v>72</v>
      </c>
      <c r="C23" t="s">
        <v>18</v>
      </c>
      <c r="D23" t="s">
        <v>19</v>
      </c>
      <c r="E23" t="s">
        <v>20</v>
      </c>
      <c r="F23">
        <v>973</v>
      </c>
      <c r="G23">
        <v>30159</v>
      </c>
      <c r="H23">
        <v>2022</v>
      </c>
      <c r="I23">
        <v>1</v>
      </c>
      <c r="J23" t="s">
        <v>21</v>
      </c>
      <c r="K23">
        <v>1</v>
      </c>
      <c r="L23" t="s">
        <v>31</v>
      </c>
      <c r="M23">
        <v>1</v>
      </c>
      <c r="N23" t="b">
        <v>1</v>
      </c>
      <c r="O23" t="b">
        <v>0</v>
      </c>
      <c r="P23">
        <v>30159</v>
      </c>
    </row>
    <row r="24" spans="1:16" x14ac:dyDescent="0.3">
      <c r="A24" t="s">
        <v>73</v>
      </c>
      <c r="B24" t="s">
        <v>74</v>
      </c>
      <c r="C24" t="s">
        <v>18</v>
      </c>
      <c r="D24" t="s">
        <v>19</v>
      </c>
      <c r="E24" t="s">
        <v>20</v>
      </c>
      <c r="F24">
        <v>1015</v>
      </c>
      <c r="G24">
        <v>31174</v>
      </c>
      <c r="H24">
        <v>2022</v>
      </c>
      <c r="I24">
        <v>1</v>
      </c>
      <c r="J24" t="s">
        <v>21</v>
      </c>
      <c r="K24">
        <v>1</v>
      </c>
      <c r="L24" t="s">
        <v>38</v>
      </c>
      <c r="M24">
        <v>2</v>
      </c>
      <c r="N24" t="b">
        <v>1</v>
      </c>
      <c r="O24" t="b">
        <v>0</v>
      </c>
      <c r="P24">
        <v>31174</v>
      </c>
    </row>
    <row r="25" spans="1:16" x14ac:dyDescent="0.3">
      <c r="A25" t="s">
        <v>75</v>
      </c>
      <c r="B25" t="s">
        <v>76</v>
      </c>
      <c r="C25" t="s">
        <v>18</v>
      </c>
      <c r="D25" t="s">
        <v>19</v>
      </c>
      <c r="E25" t="s">
        <v>20</v>
      </c>
      <c r="F25">
        <v>964</v>
      </c>
      <c r="G25">
        <v>32138</v>
      </c>
      <c r="H25">
        <v>2022</v>
      </c>
      <c r="I25">
        <v>1</v>
      </c>
      <c r="J25" t="s">
        <v>21</v>
      </c>
      <c r="K25">
        <v>1</v>
      </c>
      <c r="L25" t="s">
        <v>41</v>
      </c>
      <c r="M25">
        <v>3</v>
      </c>
      <c r="N25" t="b">
        <v>1</v>
      </c>
      <c r="O25" t="b">
        <v>0</v>
      </c>
      <c r="P25">
        <v>32138</v>
      </c>
    </row>
    <row r="26" spans="1:16" x14ac:dyDescent="0.3">
      <c r="A26" t="s">
        <v>75</v>
      </c>
      <c r="B26" t="s">
        <v>77</v>
      </c>
      <c r="C26" t="s">
        <v>46</v>
      </c>
      <c r="D26" t="s">
        <v>34</v>
      </c>
      <c r="E26" t="s">
        <v>35</v>
      </c>
      <c r="F26">
        <v>485</v>
      </c>
      <c r="G26">
        <v>31653</v>
      </c>
      <c r="H26">
        <v>2022</v>
      </c>
      <c r="I26">
        <v>1</v>
      </c>
      <c r="J26" t="s">
        <v>21</v>
      </c>
      <c r="K26">
        <v>1</v>
      </c>
      <c r="L26" t="s">
        <v>41</v>
      </c>
      <c r="M26">
        <v>3</v>
      </c>
      <c r="N26" t="b">
        <v>0</v>
      </c>
      <c r="O26" t="b">
        <v>1</v>
      </c>
      <c r="P26">
        <v>31653</v>
      </c>
    </row>
    <row r="27" spans="1:16" x14ac:dyDescent="0.3">
      <c r="A27" t="s">
        <v>78</v>
      </c>
      <c r="B27" t="s">
        <v>79</v>
      </c>
      <c r="C27" t="s">
        <v>18</v>
      </c>
      <c r="D27" t="s">
        <v>19</v>
      </c>
      <c r="E27" t="s">
        <v>20</v>
      </c>
      <c r="F27">
        <v>791</v>
      </c>
      <c r="G27">
        <v>32444</v>
      </c>
      <c r="H27">
        <v>2022</v>
      </c>
      <c r="I27">
        <v>1</v>
      </c>
      <c r="J27" t="s">
        <v>21</v>
      </c>
      <c r="K27">
        <v>1</v>
      </c>
      <c r="L27" t="s">
        <v>44</v>
      </c>
      <c r="M27">
        <v>4</v>
      </c>
      <c r="N27" t="b">
        <v>1</v>
      </c>
      <c r="O27" t="b">
        <v>0</v>
      </c>
      <c r="P27">
        <v>32444</v>
      </c>
    </row>
    <row r="28" spans="1:16" x14ac:dyDescent="0.3">
      <c r="A28" t="s">
        <v>80</v>
      </c>
      <c r="B28" t="s">
        <v>81</v>
      </c>
      <c r="C28" t="s">
        <v>18</v>
      </c>
      <c r="D28" t="s">
        <v>19</v>
      </c>
      <c r="E28" t="s">
        <v>20</v>
      </c>
      <c r="F28">
        <v>1154</v>
      </c>
      <c r="G28">
        <v>33598</v>
      </c>
      <c r="H28">
        <v>2022</v>
      </c>
      <c r="I28">
        <v>1</v>
      </c>
      <c r="J28" t="s">
        <v>21</v>
      </c>
      <c r="K28">
        <v>1</v>
      </c>
      <c r="L28" t="s">
        <v>22</v>
      </c>
      <c r="M28">
        <v>5</v>
      </c>
      <c r="N28" t="b">
        <v>1</v>
      </c>
      <c r="O28" t="b">
        <v>0</v>
      </c>
      <c r="P28">
        <v>33598</v>
      </c>
    </row>
    <row r="29" spans="1:16" x14ac:dyDescent="0.3">
      <c r="A29" t="s">
        <v>82</v>
      </c>
      <c r="B29" t="s">
        <v>83</v>
      </c>
      <c r="C29" t="s">
        <v>18</v>
      </c>
      <c r="D29" t="s">
        <v>19</v>
      </c>
      <c r="E29" t="s">
        <v>20</v>
      </c>
      <c r="F29">
        <v>963</v>
      </c>
      <c r="G29">
        <v>34561</v>
      </c>
      <c r="H29">
        <v>2022</v>
      </c>
      <c r="I29">
        <v>1</v>
      </c>
      <c r="J29" t="s">
        <v>21</v>
      </c>
      <c r="K29">
        <v>1</v>
      </c>
      <c r="L29" t="s">
        <v>25</v>
      </c>
      <c r="M29">
        <v>6</v>
      </c>
      <c r="N29" t="b">
        <v>1</v>
      </c>
      <c r="O29" t="b">
        <v>0</v>
      </c>
      <c r="P29">
        <v>34561</v>
      </c>
    </row>
    <row r="30" spans="1:16" x14ac:dyDescent="0.3">
      <c r="A30" t="s">
        <v>82</v>
      </c>
      <c r="B30" t="s">
        <v>84</v>
      </c>
      <c r="C30" t="s">
        <v>55</v>
      </c>
      <c r="D30" t="s">
        <v>56</v>
      </c>
      <c r="E30" t="s">
        <v>35</v>
      </c>
      <c r="F30">
        <v>305</v>
      </c>
      <c r="G30">
        <v>34256</v>
      </c>
      <c r="H30">
        <v>2022</v>
      </c>
      <c r="I30">
        <v>1</v>
      </c>
      <c r="J30" t="s">
        <v>21</v>
      </c>
      <c r="K30">
        <v>1</v>
      </c>
      <c r="L30" t="s">
        <v>25</v>
      </c>
      <c r="M30">
        <v>6</v>
      </c>
      <c r="N30" t="b">
        <v>0</v>
      </c>
      <c r="O30" t="b">
        <v>1</v>
      </c>
      <c r="P30">
        <v>34256</v>
      </c>
    </row>
    <row r="31" spans="1:16" x14ac:dyDescent="0.3">
      <c r="A31" t="s">
        <v>85</v>
      </c>
      <c r="B31" t="s">
        <v>86</v>
      </c>
      <c r="C31" t="s">
        <v>18</v>
      </c>
      <c r="D31" t="s">
        <v>19</v>
      </c>
      <c r="E31" t="s">
        <v>20</v>
      </c>
      <c r="F31">
        <v>1119</v>
      </c>
      <c r="G31">
        <v>35375</v>
      </c>
      <c r="H31">
        <v>2022</v>
      </c>
      <c r="I31">
        <v>1</v>
      </c>
      <c r="J31" t="s">
        <v>21</v>
      </c>
      <c r="K31">
        <v>1</v>
      </c>
      <c r="L31" t="s">
        <v>28</v>
      </c>
      <c r="M31">
        <v>0</v>
      </c>
      <c r="N31" t="b">
        <v>1</v>
      </c>
      <c r="O31" t="b">
        <v>0</v>
      </c>
      <c r="P31">
        <v>35375</v>
      </c>
    </row>
    <row r="32" spans="1:16" x14ac:dyDescent="0.3">
      <c r="A32" t="s">
        <v>85</v>
      </c>
      <c r="B32" t="s">
        <v>87</v>
      </c>
      <c r="C32" t="s">
        <v>88</v>
      </c>
      <c r="D32" t="s">
        <v>56</v>
      </c>
      <c r="E32" t="s">
        <v>35</v>
      </c>
      <c r="F32">
        <v>487</v>
      </c>
      <c r="G32">
        <v>34888</v>
      </c>
      <c r="H32">
        <v>2022</v>
      </c>
      <c r="I32">
        <v>1</v>
      </c>
      <c r="J32" t="s">
        <v>21</v>
      </c>
      <c r="K32">
        <v>1</v>
      </c>
      <c r="L32" t="s">
        <v>28</v>
      </c>
      <c r="M32">
        <v>0</v>
      </c>
      <c r="N32" t="b">
        <v>0</v>
      </c>
      <c r="O32" t="b">
        <v>1</v>
      </c>
      <c r="P32">
        <v>34888</v>
      </c>
    </row>
    <row r="33" spans="1:16" x14ac:dyDescent="0.3">
      <c r="A33" t="s">
        <v>89</v>
      </c>
      <c r="B33" t="s">
        <v>90</v>
      </c>
      <c r="C33" t="s">
        <v>18</v>
      </c>
      <c r="D33" t="s">
        <v>19</v>
      </c>
      <c r="E33" t="s">
        <v>20</v>
      </c>
      <c r="F33">
        <v>1089</v>
      </c>
      <c r="G33">
        <v>35977</v>
      </c>
      <c r="H33">
        <v>2022</v>
      </c>
      <c r="I33">
        <v>1</v>
      </c>
      <c r="J33" t="s">
        <v>21</v>
      </c>
      <c r="K33">
        <v>1</v>
      </c>
      <c r="L33" t="s">
        <v>31</v>
      </c>
      <c r="M33">
        <v>1</v>
      </c>
      <c r="N33" t="b">
        <v>1</v>
      </c>
      <c r="O33" t="b">
        <v>0</v>
      </c>
      <c r="P33">
        <v>35977</v>
      </c>
    </row>
    <row r="34" spans="1:16" x14ac:dyDescent="0.3">
      <c r="A34" t="s">
        <v>91</v>
      </c>
      <c r="B34" t="s">
        <v>92</v>
      </c>
      <c r="C34" t="s">
        <v>18</v>
      </c>
      <c r="D34" t="s">
        <v>19</v>
      </c>
      <c r="E34" t="s">
        <v>20</v>
      </c>
      <c r="F34">
        <v>959</v>
      </c>
      <c r="G34">
        <v>36936</v>
      </c>
      <c r="H34">
        <v>2022</v>
      </c>
      <c r="I34">
        <v>1</v>
      </c>
      <c r="J34" t="s">
        <v>21</v>
      </c>
      <c r="K34">
        <v>1</v>
      </c>
      <c r="L34" t="s">
        <v>38</v>
      </c>
      <c r="M34">
        <v>2</v>
      </c>
      <c r="N34" t="b">
        <v>1</v>
      </c>
      <c r="O34" t="b">
        <v>0</v>
      </c>
      <c r="P34">
        <v>36936</v>
      </c>
    </row>
    <row r="35" spans="1:16" x14ac:dyDescent="0.3">
      <c r="A35" t="s">
        <v>91</v>
      </c>
      <c r="B35" t="s">
        <v>93</v>
      </c>
      <c r="C35" t="s">
        <v>88</v>
      </c>
      <c r="D35" t="s">
        <v>56</v>
      </c>
      <c r="E35" t="s">
        <v>35</v>
      </c>
      <c r="F35">
        <v>290</v>
      </c>
      <c r="G35">
        <v>36646</v>
      </c>
      <c r="H35">
        <v>2022</v>
      </c>
      <c r="I35">
        <v>1</v>
      </c>
      <c r="J35" t="s">
        <v>21</v>
      </c>
      <c r="K35">
        <v>1</v>
      </c>
      <c r="L35" t="s">
        <v>38</v>
      </c>
      <c r="M35">
        <v>2</v>
      </c>
      <c r="N35" t="b">
        <v>0</v>
      </c>
      <c r="O35" t="b">
        <v>1</v>
      </c>
      <c r="P35">
        <v>36646</v>
      </c>
    </row>
    <row r="36" spans="1:16" x14ac:dyDescent="0.3">
      <c r="A36" t="s">
        <v>94</v>
      </c>
      <c r="B36" t="s">
        <v>95</v>
      </c>
      <c r="C36" t="s">
        <v>18</v>
      </c>
      <c r="D36" t="s">
        <v>19</v>
      </c>
      <c r="E36" t="s">
        <v>20</v>
      </c>
      <c r="F36">
        <v>917</v>
      </c>
      <c r="G36">
        <v>37563</v>
      </c>
      <c r="H36">
        <v>2022</v>
      </c>
      <c r="I36">
        <v>1</v>
      </c>
      <c r="J36" t="s">
        <v>21</v>
      </c>
      <c r="K36">
        <v>1</v>
      </c>
      <c r="L36" t="s">
        <v>41</v>
      </c>
      <c r="M36">
        <v>3</v>
      </c>
      <c r="N36" t="b">
        <v>1</v>
      </c>
      <c r="O36" t="b">
        <v>0</v>
      </c>
      <c r="P36">
        <v>37563</v>
      </c>
    </row>
    <row r="37" spans="1:16" x14ac:dyDescent="0.3">
      <c r="A37" t="s">
        <v>96</v>
      </c>
      <c r="B37" t="s">
        <v>97</v>
      </c>
      <c r="C37" t="s">
        <v>18</v>
      </c>
      <c r="D37" t="s">
        <v>19</v>
      </c>
      <c r="E37" t="s">
        <v>20</v>
      </c>
      <c r="F37">
        <v>901</v>
      </c>
      <c r="G37">
        <v>38464</v>
      </c>
      <c r="H37">
        <v>2022</v>
      </c>
      <c r="I37">
        <v>1</v>
      </c>
      <c r="J37" t="s">
        <v>21</v>
      </c>
      <c r="K37">
        <v>1</v>
      </c>
      <c r="L37" t="s">
        <v>44</v>
      </c>
      <c r="M37">
        <v>4</v>
      </c>
      <c r="N37" t="b">
        <v>1</v>
      </c>
      <c r="O37" t="b">
        <v>0</v>
      </c>
      <c r="P37">
        <v>38464</v>
      </c>
    </row>
    <row r="38" spans="1:16" x14ac:dyDescent="0.3">
      <c r="A38" t="s">
        <v>98</v>
      </c>
      <c r="B38" t="s">
        <v>99</v>
      </c>
      <c r="C38" t="s">
        <v>18</v>
      </c>
      <c r="D38" t="s">
        <v>19</v>
      </c>
      <c r="E38" t="s">
        <v>20</v>
      </c>
      <c r="F38">
        <v>969</v>
      </c>
      <c r="G38">
        <v>39433</v>
      </c>
      <c r="H38">
        <v>2022</v>
      </c>
      <c r="I38">
        <v>1</v>
      </c>
      <c r="J38" t="s">
        <v>21</v>
      </c>
      <c r="K38">
        <v>1</v>
      </c>
      <c r="L38" t="s">
        <v>22</v>
      </c>
      <c r="M38">
        <v>5</v>
      </c>
      <c r="N38" t="b">
        <v>1</v>
      </c>
      <c r="O38" t="b">
        <v>0</v>
      </c>
      <c r="P38">
        <v>39433</v>
      </c>
    </row>
    <row r="39" spans="1:16" x14ac:dyDescent="0.3">
      <c r="A39" t="s">
        <v>100</v>
      </c>
      <c r="B39" t="s">
        <v>101</v>
      </c>
      <c r="C39" t="s">
        <v>18</v>
      </c>
      <c r="D39" t="s">
        <v>19</v>
      </c>
      <c r="E39" t="s">
        <v>20</v>
      </c>
      <c r="F39">
        <v>970</v>
      </c>
      <c r="G39">
        <v>40403</v>
      </c>
      <c r="H39">
        <v>2022</v>
      </c>
      <c r="I39">
        <v>1</v>
      </c>
      <c r="J39" t="s">
        <v>21</v>
      </c>
      <c r="K39">
        <v>1</v>
      </c>
      <c r="L39" t="s">
        <v>25</v>
      </c>
      <c r="M39">
        <v>6</v>
      </c>
      <c r="N39" t="b">
        <v>1</v>
      </c>
      <c r="O39" t="b">
        <v>0</v>
      </c>
      <c r="P39">
        <v>40403</v>
      </c>
    </row>
    <row r="40" spans="1:16" x14ac:dyDescent="0.3">
      <c r="A40" t="s">
        <v>100</v>
      </c>
      <c r="B40" t="s">
        <v>102</v>
      </c>
      <c r="C40" t="s">
        <v>46</v>
      </c>
      <c r="D40" t="s">
        <v>34</v>
      </c>
      <c r="E40" t="s">
        <v>35</v>
      </c>
      <c r="F40">
        <v>314</v>
      </c>
      <c r="G40">
        <v>40089</v>
      </c>
      <c r="H40">
        <v>2022</v>
      </c>
      <c r="I40">
        <v>1</v>
      </c>
      <c r="J40" t="s">
        <v>21</v>
      </c>
      <c r="K40">
        <v>1</v>
      </c>
      <c r="L40" t="s">
        <v>25</v>
      </c>
      <c r="M40">
        <v>6</v>
      </c>
      <c r="N40" t="b">
        <v>0</v>
      </c>
      <c r="O40" t="b">
        <v>1</v>
      </c>
      <c r="P40">
        <v>40089</v>
      </c>
    </row>
    <row r="41" spans="1:16" x14ac:dyDescent="0.3">
      <c r="A41" t="s">
        <v>103</v>
      </c>
      <c r="B41" t="s">
        <v>104</v>
      </c>
      <c r="C41" t="s">
        <v>18</v>
      </c>
      <c r="D41" t="s">
        <v>19</v>
      </c>
      <c r="E41" t="s">
        <v>20</v>
      </c>
      <c r="F41">
        <v>889</v>
      </c>
      <c r="G41">
        <v>40978</v>
      </c>
      <c r="H41">
        <v>2022</v>
      </c>
      <c r="I41">
        <v>1</v>
      </c>
      <c r="J41" t="s">
        <v>21</v>
      </c>
      <c r="K41">
        <v>1</v>
      </c>
      <c r="L41" t="s">
        <v>28</v>
      </c>
      <c r="M41">
        <v>0</v>
      </c>
      <c r="N41" t="b">
        <v>1</v>
      </c>
      <c r="O41" t="b">
        <v>0</v>
      </c>
      <c r="P41">
        <v>40978</v>
      </c>
    </row>
    <row r="42" spans="1:16" x14ac:dyDescent="0.3">
      <c r="A42" t="s">
        <v>105</v>
      </c>
      <c r="B42" t="s">
        <v>106</v>
      </c>
      <c r="C42" t="s">
        <v>18</v>
      </c>
      <c r="D42" t="s">
        <v>19</v>
      </c>
      <c r="E42" t="s">
        <v>20</v>
      </c>
      <c r="F42">
        <v>907</v>
      </c>
      <c r="G42">
        <v>41885</v>
      </c>
      <c r="H42">
        <v>2022</v>
      </c>
      <c r="I42">
        <v>2</v>
      </c>
      <c r="J42" t="s">
        <v>107</v>
      </c>
      <c r="K42">
        <v>1</v>
      </c>
      <c r="L42" t="s">
        <v>31</v>
      </c>
      <c r="M42">
        <v>1</v>
      </c>
      <c r="N42" t="b">
        <v>1</v>
      </c>
      <c r="O42" t="b">
        <v>0</v>
      </c>
      <c r="P42">
        <v>41885</v>
      </c>
    </row>
    <row r="43" spans="1:16" x14ac:dyDescent="0.3">
      <c r="A43" t="s">
        <v>108</v>
      </c>
      <c r="B43" t="s">
        <v>109</v>
      </c>
      <c r="C43" t="s">
        <v>18</v>
      </c>
      <c r="D43" t="s">
        <v>19</v>
      </c>
      <c r="E43" t="s">
        <v>20</v>
      </c>
      <c r="F43">
        <v>1066</v>
      </c>
      <c r="G43">
        <v>42951</v>
      </c>
      <c r="H43">
        <v>2022</v>
      </c>
      <c r="I43">
        <v>2</v>
      </c>
      <c r="J43" t="s">
        <v>107</v>
      </c>
      <c r="K43">
        <v>1</v>
      </c>
      <c r="L43" t="s">
        <v>38</v>
      </c>
      <c r="M43">
        <v>2</v>
      </c>
      <c r="N43" t="b">
        <v>1</v>
      </c>
      <c r="O43" t="b">
        <v>0</v>
      </c>
      <c r="P43">
        <v>42951</v>
      </c>
    </row>
    <row r="44" spans="1:16" x14ac:dyDescent="0.3">
      <c r="A44" t="s">
        <v>110</v>
      </c>
      <c r="B44" t="s">
        <v>111</v>
      </c>
      <c r="C44" t="s">
        <v>18</v>
      </c>
      <c r="D44" t="s">
        <v>19</v>
      </c>
      <c r="E44" t="s">
        <v>20</v>
      </c>
      <c r="F44">
        <v>1109</v>
      </c>
      <c r="G44">
        <v>44060</v>
      </c>
      <c r="H44">
        <v>2022</v>
      </c>
      <c r="I44">
        <v>2</v>
      </c>
      <c r="J44" t="s">
        <v>107</v>
      </c>
      <c r="K44">
        <v>1</v>
      </c>
      <c r="L44" t="s">
        <v>41</v>
      </c>
      <c r="M44">
        <v>3</v>
      </c>
      <c r="N44" t="b">
        <v>1</v>
      </c>
      <c r="O44" t="b">
        <v>0</v>
      </c>
      <c r="P44">
        <v>44060</v>
      </c>
    </row>
    <row r="45" spans="1:16" x14ac:dyDescent="0.3">
      <c r="A45" t="s">
        <v>112</v>
      </c>
      <c r="B45" t="s">
        <v>113</v>
      </c>
      <c r="C45" t="s">
        <v>18</v>
      </c>
      <c r="D45" t="s">
        <v>19</v>
      </c>
      <c r="E45" t="s">
        <v>20</v>
      </c>
      <c r="F45">
        <v>887</v>
      </c>
      <c r="G45">
        <v>44947</v>
      </c>
      <c r="H45">
        <v>2022</v>
      </c>
      <c r="I45">
        <v>2</v>
      </c>
      <c r="J45" t="s">
        <v>107</v>
      </c>
      <c r="K45">
        <v>1</v>
      </c>
      <c r="L45" t="s">
        <v>44</v>
      </c>
      <c r="M45">
        <v>4</v>
      </c>
      <c r="N45" t="b">
        <v>1</v>
      </c>
      <c r="O45" t="b">
        <v>0</v>
      </c>
      <c r="P45">
        <v>44947</v>
      </c>
    </row>
    <row r="46" spans="1:16" x14ac:dyDescent="0.3">
      <c r="A46" t="s">
        <v>114</v>
      </c>
      <c r="B46" t="s">
        <v>115</v>
      </c>
      <c r="C46" t="s">
        <v>18</v>
      </c>
      <c r="D46" t="s">
        <v>19</v>
      </c>
      <c r="E46" t="s">
        <v>20</v>
      </c>
      <c r="F46">
        <v>740</v>
      </c>
      <c r="G46">
        <v>45687</v>
      </c>
      <c r="H46">
        <v>2022</v>
      </c>
      <c r="I46">
        <v>2</v>
      </c>
      <c r="J46" t="s">
        <v>107</v>
      </c>
      <c r="K46">
        <v>1</v>
      </c>
      <c r="L46" t="s">
        <v>22</v>
      </c>
      <c r="M46">
        <v>5</v>
      </c>
      <c r="N46" t="b">
        <v>1</v>
      </c>
      <c r="O46" t="b">
        <v>0</v>
      </c>
      <c r="P46">
        <v>45687</v>
      </c>
    </row>
    <row r="47" spans="1:16" x14ac:dyDescent="0.3">
      <c r="A47" t="s">
        <v>116</v>
      </c>
      <c r="B47" t="s">
        <v>117</v>
      </c>
      <c r="C47" t="s">
        <v>18</v>
      </c>
      <c r="D47" t="s">
        <v>19</v>
      </c>
      <c r="E47" t="s">
        <v>20</v>
      </c>
      <c r="F47">
        <v>1000</v>
      </c>
      <c r="G47">
        <v>46687</v>
      </c>
      <c r="H47">
        <v>2022</v>
      </c>
      <c r="I47">
        <v>2</v>
      </c>
      <c r="J47" t="s">
        <v>107</v>
      </c>
      <c r="K47">
        <v>1</v>
      </c>
      <c r="L47" t="s">
        <v>25</v>
      </c>
      <c r="M47">
        <v>6</v>
      </c>
      <c r="N47" t="b">
        <v>1</v>
      </c>
      <c r="O47" t="b">
        <v>0</v>
      </c>
      <c r="P47">
        <v>46687</v>
      </c>
    </row>
    <row r="48" spans="1:16" x14ac:dyDescent="0.3">
      <c r="A48" t="s">
        <v>116</v>
      </c>
      <c r="B48" t="s">
        <v>118</v>
      </c>
      <c r="C48" t="s">
        <v>55</v>
      </c>
      <c r="D48" t="s">
        <v>56</v>
      </c>
      <c r="E48" t="s">
        <v>35</v>
      </c>
      <c r="F48">
        <v>426</v>
      </c>
      <c r="G48">
        <v>46261</v>
      </c>
      <c r="H48">
        <v>2022</v>
      </c>
      <c r="I48">
        <v>2</v>
      </c>
      <c r="J48" t="s">
        <v>107</v>
      </c>
      <c r="K48">
        <v>1</v>
      </c>
      <c r="L48" t="s">
        <v>25</v>
      </c>
      <c r="M48">
        <v>6</v>
      </c>
      <c r="N48" t="b">
        <v>0</v>
      </c>
      <c r="O48" t="b">
        <v>1</v>
      </c>
      <c r="P48">
        <v>46261</v>
      </c>
    </row>
    <row r="49" spans="1:16" x14ac:dyDescent="0.3">
      <c r="A49" t="s">
        <v>119</v>
      </c>
      <c r="B49" t="s">
        <v>120</v>
      </c>
      <c r="C49" t="s">
        <v>18</v>
      </c>
      <c r="D49" t="s">
        <v>19</v>
      </c>
      <c r="E49" t="s">
        <v>20</v>
      </c>
      <c r="F49">
        <v>1043</v>
      </c>
      <c r="G49">
        <v>47304</v>
      </c>
      <c r="H49">
        <v>2022</v>
      </c>
      <c r="I49">
        <v>2</v>
      </c>
      <c r="J49" t="s">
        <v>107</v>
      </c>
      <c r="K49">
        <v>1</v>
      </c>
      <c r="L49" t="s">
        <v>28</v>
      </c>
      <c r="M49">
        <v>0</v>
      </c>
      <c r="N49" t="b">
        <v>1</v>
      </c>
      <c r="O49" t="b">
        <v>0</v>
      </c>
      <c r="P49">
        <v>47304</v>
      </c>
    </row>
    <row r="50" spans="1:16" x14ac:dyDescent="0.3">
      <c r="A50" t="s">
        <v>121</v>
      </c>
      <c r="B50" t="s">
        <v>122</v>
      </c>
      <c r="C50" t="s">
        <v>18</v>
      </c>
      <c r="D50" t="s">
        <v>19</v>
      </c>
      <c r="E50" t="s">
        <v>20</v>
      </c>
      <c r="F50">
        <v>835</v>
      </c>
      <c r="G50">
        <v>48139</v>
      </c>
      <c r="H50">
        <v>2022</v>
      </c>
      <c r="I50">
        <v>2</v>
      </c>
      <c r="J50" t="s">
        <v>107</v>
      </c>
      <c r="K50">
        <v>1</v>
      </c>
      <c r="L50" t="s">
        <v>31</v>
      </c>
      <c r="M50">
        <v>1</v>
      </c>
      <c r="N50" t="b">
        <v>1</v>
      </c>
      <c r="O50" t="b">
        <v>0</v>
      </c>
      <c r="P50">
        <v>48139</v>
      </c>
    </row>
    <row r="51" spans="1:16" x14ac:dyDescent="0.3">
      <c r="A51" t="s">
        <v>121</v>
      </c>
      <c r="B51" t="s">
        <v>123</v>
      </c>
      <c r="C51" t="s">
        <v>33</v>
      </c>
      <c r="D51" t="s">
        <v>34</v>
      </c>
      <c r="E51" t="s">
        <v>35</v>
      </c>
      <c r="F51">
        <v>238</v>
      </c>
      <c r="G51">
        <v>47901</v>
      </c>
      <c r="H51">
        <v>2022</v>
      </c>
      <c r="I51">
        <v>2</v>
      </c>
      <c r="J51" t="s">
        <v>107</v>
      </c>
      <c r="K51">
        <v>1</v>
      </c>
      <c r="L51" t="s">
        <v>31</v>
      </c>
      <c r="M51">
        <v>1</v>
      </c>
      <c r="N51" t="b">
        <v>0</v>
      </c>
      <c r="O51" t="b">
        <v>1</v>
      </c>
      <c r="P51">
        <v>47901</v>
      </c>
    </row>
    <row r="52" spans="1:16" x14ac:dyDescent="0.3">
      <c r="A52" t="s">
        <v>124</v>
      </c>
      <c r="B52" t="s">
        <v>125</v>
      </c>
      <c r="C52" t="s">
        <v>18</v>
      </c>
      <c r="D52" t="s">
        <v>19</v>
      </c>
      <c r="E52" t="s">
        <v>20</v>
      </c>
      <c r="F52">
        <v>780</v>
      </c>
      <c r="G52">
        <v>48681</v>
      </c>
      <c r="H52">
        <v>2022</v>
      </c>
      <c r="I52">
        <v>2</v>
      </c>
      <c r="J52" t="s">
        <v>107</v>
      </c>
      <c r="K52">
        <v>1</v>
      </c>
      <c r="L52" t="s">
        <v>38</v>
      </c>
      <c r="M52">
        <v>2</v>
      </c>
      <c r="N52" t="b">
        <v>1</v>
      </c>
      <c r="O52" t="b">
        <v>0</v>
      </c>
      <c r="P52">
        <v>48681</v>
      </c>
    </row>
    <row r="53" spans="1:16" x14ac:dyDescent="0.3">
      <c r="A53" t="s">
        <v>126</v>
      </c>
      <c r="B53" t="s">
        <v>127</v>
      </c>
      <c r="C53" t="s">
        <v>18</v>
      </c>
      <c r="D53" t="s">
        <v>19</v>
      </c>
      <c r="E53" t="s">
        <v>20</v>
      </c>
      <c r="F53">
        <v>1118</v>
      </c>
      <c r="G53">
        <v>49799</v>
      </c>
      <c r="H53">
        <v>2022</v>
      </c>
      <c r="I53">
        <v>2</v>
      </c>
      <c r="J53" t="s">
        <v>107</v>
      </c>
      <c r="K53">
        <v>1</v>
      </c>
      <c r="L53" t="s">
        <v>41</v>
      </c>
      <c r="M53">
        <v>3</v>
      </c>
      <c r="N53" t="b">
        <v>1</v>
      </c>
      <c r="O53" t="b">
        <v>0</v>
      </c>
      <c r="P53">
        <v>49799</v>
      </c>
    </row>
    <row r="54" spans="1:16" x14ac:dyDescent="0.3">
      <c r="A54" t="s">
        <v>128</v>
      </c>
      <c r="B54" t="s">
        <v>129</v>
      </c>
      <c r="C54" t="s">
        <v>18</v>
      </c>
      <c r="D54" t="s">
        <v>19</v>
      </c>
      <c r="E54" t="s">
        <v>20</v>
      </c>
      <c r="F54">
        <v>960</v>
      </c>
      <c r="G54">
        <v>50759</v>
      </c>
      <c r="H54">
        <v>2022</v>
      </c>
      <c r="I54">
        <v>2</v>
      </c>
      <c r="J54" t="s">
        <v>107</v>
      </c>
      <c r="K54">
        <v>1</v>
      </c>
      <c r="L54" t="s">
        <v>44</v>
      </c>
      <c r="M54">
        <v>4</v>
      </c>
      <c r="N54" t="b">
        <v>1</v>
      </c>
      <c r="O54" t="b">
        <v>0</v>
      </c>
      <c r="P54">
        <v>50759</v>
      </c>
    </row>
    <row r="55" spans="1:16" x14ac:dyDescent="0.3">
      <c r="A55" t="s">
        <v>130</v>
      </c>
      <c r="B55" t="s">
        <v>131</v>
      </c>
      <c r="C55" t="s">
        <v>18</v>
      </c>
      <c r="D55" t="s">
        <v>19</v>
      </c>
      <c r="E55" t="s">
        <v>20</v>
      </c>
      <c r="F55">
        <v>740</v>
      </c>
      <c r="G55">
        <v>51499</v>
      </c>
      <c r="H55">
        <v>2022</v>
      </c>
      <c r="I55">
        <v>2</v>
      </c>
      <c r="J55" t="s">
        <v>107</v>
      </c>
      <c r="K55">
        <v>1</v>
      </c>
      <c r="L55" t="s">
        <v>22</v>
      </c>
      <c r="M55">
        <v>5</v>
      </c>
      <c r="N55" t="b">
        <v>1</v>
      </c>
      <c r="O55" t="b">
        <v>0</v>
      </c>
      <c r="P55">
        <v>51499</v>
      </c>
    </row>
    <row r="56" spans="1:16" x14ac:dyDescent="0.3">
      <c r="A56" t="s">
        <v>132</v>
      </c>
      <c r="B56" t="s">
        <v>133</v>
      </c>
      <c r="C56" t="s">
        <v>18</v>
      </c>
      <c r="D56" t="s">
        <v>19</v>
      </c>
      <c r="E56" t="s">
        <v>20</v>
      </c>
      <c r="F56">
        <v>900</v>
      </c>
      <c r="G56">
        <v>52399</v>
      </c>
      <c r="H56">
        <v>2022</v>
      </c>
      <c r="I56">
        <v>2</v>
      </c>
      <c r="J56" t="s">
        <v>107</v>
      </c>
      <c r="K56">
        <v>1</v>
      </c>
      <c r="L56" t="s">
        <v>25</v>
      </c>
      <c r="M56">
        <v>6</v>
      </c>
      <c r="N56" t="b">
        <v>1</v>
      </c>
      <c r="O56" t="b">
        <v>0</v>
      </c>
      <c r="P56">
        <v>52399</v>
      </c>
    </row>
    <row r="57" spans="1:16" x14ac:dyDescent="0.3">
      <c r="A57" t="s">
        <v>134</v>
      </c>
      <c r="B57" t="s">
        <v>135</v>
      </c>
      <c r="C57" t="s">
        <v>18</v>
      </c>
      <c r="D57" t="s">
        <v>19</v>
      </c>
      <c r="E57" t="s">
        <v>20</v>
      </c>
      <c r="F57">
        <v>1117</v>
      </c>
      <c r="G57">
        <v>53516</v>
      </c>
      <c r="H57">
        <v>2022</v>
      </c>
      <c r="I57">
        <v>2</v>
      </c>
      <c r="J57" t="s">
        <v>107</v>
      </c>
      <c r="K57">
        <v>1</v>
      </c>
      <c r="L57" t="s">
        <v>28</v>
      </c>
      <c r="M57">
        <v>0</v>
      </c>
      <c r="N57" t="b">
        <v>1</v>
      </c>
      <c r="O57" t="b">
        <v>0</v>
      </c>
      <c r="P57">
        <v>53516</v>
      </c>
    </row>
    <row r="58" spans="1:16" x14ac:dyDescent="0.3">
      <c r="A58" t="s">
        <v>134</v>
      </c>
      <c r="B58" t="s">
        <v>136</v>
      </c>
      <c r="C58" t="s">
        <v>137</v>
      </c>
      <c r="D58" t="s">
        <v>34</v>
      </c>
      <c r="E58" t="s">
        <v>35</v>
      </c>
      <c r="F58">
        <v>161</v>
      </c>
      <c r="G58">
        <v>53355</v>
      </c>
      <c r="H58">
        <v>2022</v>
      </c>
      <c r="I58">
        <v>2</v>
      </c>
      <c r="J58" t="s">
        <v>107</v>
      </c>
      <c r="K58">
        <v>1</v>
      </c>
      <c r="L58" t="s">
        <v>28</v>
      </c>
      <c r="M58">
        <v>0</v>
      </c>
      <c r="N58" t="b">
        <v>0</v>
      </c>
      <c r="O58" t="b">
        <v>1</v>
      </c>
      <c r="P58">
        <v>53355</v>
      </c>
    </row>
    <row r="59" spans="1:16" x14ac:dyDescent="0.3">
      <c r="A59" t="s">
        <v>138</v>
      </c>
      <c r="B59" t="s">
        <v>139</v>
      </c>
      <c r="C59" t="s">
        <v>18</v>
      </c>
      <c r="D59" t="s">
        <v>19</v>
      </c>
      <c r="E59" t="s">
        <v>20</v>
      </c>
      <c r="F59">
        <v>798</v>
      </c>
      <c r="G59">
        <v>54153</v>
      </c>
      <c r="H59">
        <v>2022</v>
      </c>
      <c r="I59">
        <v>2</v>
      </c>
      <c r="J59" t="s">
        <v>107</v>
      </c>
      <c r="K59">
        <v>1</v>
      </c>
      <c r="L59" t="s">
        <v>31</v>
      </c>
      <c r="M59">
        <v>1</v>
      </c>
      <c r="N59" t="b">
        <v>1</v>
      </c>
      <c r="O59" t="b">
        <v>0</v>
      </c>
      <c r="P59">
        <v>54153</v>
      </c>
    </row>
    <row r="60" spans="1:16" x14ac:dyDescent="0.3">
      <c r="A60" t="s">
        <v>140</v>
      </c>
      <c r="B60" t="s">
        <v>141</v>
      </c>
      <c r="C60" t="s">
        <v>18</v>
      </c>
      <c r="D60" t="s">
        <v>19</v>
      </c>
      <c r="E60" t="s">
        <v>20</v>
      </c>
      <c r="F60">
        <v>913</v>
      </c>
      <c r="G60">
        <v>55066</v>
      </c>
      <c r="H60">
        <v>2022</v>
      </c>
      <c r="I60">
        <v>2</v>
      </c>
      <c r="J60" t="s">
        <v>107</v>
      </c>
      <c r="K60">
        <v>1</v>
      </c>
      <c r="L60" t="s">
        <v>38</v>
      </c>
      <c r="M60">
        <v>2</v>
      </c>
      <c r="N60" t="b">
        <v>1</v>
      </c>
      <c r="O60" t="b">
        <v>0</v>
      </c>
      <c r="P60">
        <v>55066</v>
      </c>
    </row>
    <row r="61" spans="1:16" x14ac:dyDescent="0.3">
      <c r="A61" t="s">
        <v>142</v>
      </c>
      <c r="B61" t="s">
        <v>143</v>
      </c>
      <c r="C61" t="s">
        <v>18</v>
      </c>
      <c r="D61" t="s">
        <v>19</v>
      </c>
      <c r="E61" t="s">
        <v>20</v>
      </c>
      <c r="F61">
        <v>1148</v>
      </c>
      <c r="G61">
        <v>56214</v>
      </c>
      <c r="H61">
        <v>2022</v>
      </c>
      <c r="I61">
        <v>2</v>
      </c>
      <c r="J61" t="s">
        <v>107</v>
      </c>
      <c r="K61">
        <v>1</v>
      </c>
      <c r="L61" t="s">
        <v>41</v>
      </c>
      <c r="M61">
        <v>3</v>
      </c>
      <c r="N61" t="b">
        <v>1</v>
      </c>
      <c r="O61" t="b">
        <v>0</v>
      </c>
      <c r="P61">
        <v>56214</v>
      </c>
    </row>
    <row r="62" spans="1:16" x14ac:dyDescent="0.3">
      <c r="A62" t="s">
        <v>144</v>
      </c>
      <c r="B62" t="s">
        <v>145</v>
      </c>
      <c r="C62" t="s">
        <v>18</v>
      </c>
      <c r="D62" t="s">
        <v>19</v>
      </c>
      <c r="E62" t="s">
        <v>20</v>
      </c>
      <c r="F62">
        <v>1130</v>
      </c>
      <c r="G62">
        <v>57344</v>
      </c>
      <c r="H62">
        <v>2022</v>
      </c>
      <c r="I62">
        <v>2</v>
      </c>
      <c r="J62" t="s">
        <v>107</v>
      </c>
      <c r="K62">
        <v>1</v>
      </c>
      <c r="L62" t="s">
        <v>44</v>
      </c>
      <c r="M62">
        <v>4</v>
      </c>
      <c r="N62" t="b">
        <v>1</v>
      </c>
      <c r="O62" t="b">
        <v>0</v>
      </c>
      <c r="P62">
        <v>57344</v>
      </c>
    </row>
    <row r="63" spans="1:16" x14ac:dyDescent="0.3">
      <c r="A63" t="s">
        <v>146</v>
      </c>
      <c r="B63" t="s">
        <v>147</v>
      </c>
      <c r="C63" t="s">
        <v>18</v>
      </c>
      <c r="D63" t="s">
        <v>19</v>
      </c>
      <c r="E63" t="s">
        <v>20</v>
      </c>
      <c r="F63">
        <v>956</v>
      </c>
      <c r="G63">
        <v>58300</v>
      </c>
      <c r="H63">
        <v>2022</v>
      </c>
      <c r="I63">
        <v>2</v>
      </c>
      <c r="J63" t="s">
        <v>107</v>
      </c>
      <c r="K63">
        <v>1</v>
      </c>
      <c r="L63" t="s">
        <v>22</v>
      </c>
      <c r="M63">
        <v>5</v>
      </c>
      <c r="N63" t="b">
        <v>1</v>
      </c>
      <c r="O63" t="b">
        <v>0</v>
      </c>
      <c r="P63">
        <v>58300</v>
      </c>
    </row>
    <row r="64" spans="1:16" x14ac:dyDescent="0.3">
      <c r="A64" t="s">
        <v>148</v>
      </c>
      <c r="B64" t="s">
        <v>149</v>
      </c>
      <c r="C64" t="s">
        <v>18</v>
      </c>
      <c r="D64" t="s">
        <v>19</v>
      </c>
      <c r="E64" t="s">
        <v>20</v>
      </c>
      <c r="F64">
        <v>954</v>
      </c>
      <c r="G64">
        <v>59254</v>
      </c>
      <c r="H64">
        <v>2022</v>
      </c>
      <c r="I64">
        <v>2</v>
      </c>
      <c r="J64" t="s">
        <v>107</v>
      </c>
      <c r="K64">
        <v>1</v>
      </c>
      <c r="L64" t="s">
        <v>25</v>
      </c>
      <c r="M64">
        <v>6</v>
      </c>
      <c r="N64" t="b">
        <v>1</v>
      </c>
      <c r="O64" t="b">
        <v>0</v>
      </c>
      <c r="P64">
        <v>59254</v>
      </c>
    </row>
    <row r="65" spans="1:16" x14ac:dyDescent="0.3">
      <c r="A65" t="s">
        <v>150</v>
      </c>
      <c r="B65" t="s">
        <v>151</v>
      </c>
      <c r="C65" t="s">
        <v>18</v>
      </c>
      <c r="D65" t="s">
        <v>19</v>
      </c>
      <c r="E65" t="s">
        <v>20</v>
      </c>
      <c r="F65">
        <v>982</v>
      </c>
      <c r="G65">
        <v>60236</v>
      </c>
      <c r="H65">
        <v>2022</v>
      </c>
      <c r="I65">
        <v>2</v>
      </c>
      <c r="J65" t="s">
        <v>107</v>
      </c>
      <c r="K65">
        <v>1</v>
      </c>
      <c r="L65" t="s">
        <v>28</v>
      </c>
      <c r="M65">
        <v>0</v>
      </c>
      <c r="N65" t="b">
        <v>1</v>
      </c>
      <c r="O65" t="b">
        <v>0</v>
      </c>
      <c r="P65">
        <v>60236</v>
      </c>
    </row>
    <row r="66" spans="1:16" x14ac:dyDescent="0.3">
      <c r="A66" t="s">
        <v>152</v>
      </c>
      <c r="B66" t="s">
        <v>153</v>
      </c>
      <c r="C66" t="s">
        <v>18</v>
      </c>
      <c r="D66" t="s">
        <v>19</v>
      </c>
      <c r="E66" t="s">
        <v>20</v>
      </c>
      <c r="F66">
        <v>714</v>
      </c>
      <c r="G66">
        <v>60950</v>
      </c>
      <c r="H66">
        <v>2022</v>
      </c>
      <c r="I66">
        <v>2</v>
      </c>
      <c r="J66" t="s">
        <v>107</v>
      </c>
      <c r="K66">
        <v>1</v>
      </c>
      <c r="L66" t="s">
        <v>31</v>
      </c>
      <c r="M66">
        <v>1</v>
      </c>
      <c r="N66" t="b">
        <v>1</v>
      </c>
      <c r="O66" t="b">
        <v>0</v>
      </c>
      <c r="P66">
        <v>60950</v>
      </c>
    </row>
    <row r="67" spans="1:16" x14ac:dyDescent="0.3">
      <c r="A67" t="s">
        <v>152</v>
      </c>
      <c r="B67" t="s">
        <v>154</v>
      </c>
      <c r="C67" t="s">
        <v>137</v>
      </c>
      <c r="D67" t="s">
        <v>34</v>
      </c>
      <c r="E67" t="s">
        <v>35</v>
      </c>
      <c r="F67">
        <v>479</v>
      </c>
      <c r="G67">
        <v>60471</v>
      </c>
      <c r="H67">
        <v>2022</v>
      </c>
      <c r="I67">
        <v>2</v>
      </c>
      <c r="J67" t="s">
        <v>107</v>
      </c>
      <c r="K67">
        <v>1</v>
      </c>
      <c r="L67" t="s">
        <v>31</v>
      </c>
      <c r="M67">
        <v>1</v>
      </c>
      <c r="N67" t="b">
        <v>0</v>
      </c>
      <c r="O67" t="b">
        <v>1</v>
      </c>
      <c r="P67">
        <v>60471</v>
      </c>
    </row>
    <row r="68" spans="1:16" x14ac:dyDescent="0.3">
      <c r="A68" t="s">
        <v>155</v>
      </c>
      <c r="B68" t="s">
        <v>156</v>
      </c>
      <c r="C68" t="s">
        <v>55</v>
      </c>
      <c r="D68" t="s">
        <v>56</v>
      </c>
      <c r="E68" t="s">
        <v>35</v>
      </c>
      <c r="F68">
        <v>330</v>
      </c>
      <c r="G68">
        <v>61019</v>
      </c>
      <c r="H68">
        <v>2022</v>
      </c>
      <c r="I68">
        <v>2</v>
      </c>
      <c r="J68" t="s">
        <v>107</v>
      </c>
      <c r="K68">
        <v>1</v>
      </c>
      <c r="L68" t="s">
        <v>38</v>
      </c>
      <c r="M68">
        <v>2</v>
      </c>
      <c r="N68" t="b">
        <v>0</v>
      </c>
      <c r="O68" t="b">
        <v>1</v>
      </c>
      <c r="P68">
        <v>60141</v>
      </c>
    </row>
    <row r="69" spans="1:16" x14ac:dyDescent="0.3">
      <c r="A69" t="s">
        <v>155</v>
      </c>
      <c r="B69" t="s">
        <v>157</v>
      </c>
      <c r="C69" t="s">
        <v>18</v>
      </c>
      <c r="D69" t="s">
        <v>19</v>
      </c>
      <c r="E69" t="s">
        <v>20</v>
      </c>
      <c r="F69">
        <v>878</v>
      </c>
      <c r="G69">
        <v>61349</v>
      </c>
      <c r="H69">
        <v>2022</v>
      </c>
      <c r="I69">
        <v>2</v>
      </c>
      <c r="J69" t="s">
        <v>107</v>
      </c>
      <c r="K69">
        <v>1</v>
      </c>
      <c r="L69" t="s">
        <v>38</v>
      </c>
      <c r="M69">
        <v>2</v>
      </c>
      <c r="N69" t="b">
        <v>1</v>
      </c>
      <c r="O69" t="b">
        <v>0</v>
      </c>
      <c r="P69">
        <v>61019</v>
      </c>
    </row>
    <row r="70" spans="1:16" x14ac:dyDescent="0.3">
      <c r="A70" t="s">
        <v>158</v>
      </c>
      <c r="B70" t="s">
        <v>159</v>
      </c>
      <c r="C70" t="s">
        <v>18</v>
      </c>
      <c r="D70" t="s">
        <v>19</v>
      </c>
      <c r="E70" t="s">
        <v>20</v>
      </c>
      <c r="F70">
        <v>751</v>
      </c>
      <c r="G70">
        <v>61770</v>
      </c>
      <c r="H70">
        <v>2022</v>
      </c>
      <c r="I70">
        <v>2</v>
      </c>
      <c r="J70" t="s">
        <v>107</v>
      </c>
      <c r="K70">
        <v>1</v>
      </c>
      <c r="L70" t="s">
        <v>41</v>
      </c>
      <c r="M70">
        <v>3</v>
      </c>
      <c r="N70" t="b">
        <v>1</v>
      </c>
      <c r="O70" t="b">
        <v>0</v>
      </c>
      <c r="P70">
        <v>61770</v>
      </c>
    </row>
    <row r="71" spans="1:16" x14ac:dyDescent="0.3">
      <c r="A71" t="s">
        <v>160</v>
      </c>
      <c r="B71" t="s">
        <v>161</v>
      </c>
      <c r="C71" t="s">
        <v>18</v>
      </c>
      <c r="D71" t="s">
        <v>19</v>
      </c>
      <c r="E71" t="s">
        <v>20</v>
      </c>
      <c r="F71">
        <v>1087</v>
      </c>
      <c r="G71">
        <v>62857</v>
      </c>
      <c r="H71">
        <v>2022</v>
      </c>
      <c r="I71">
        <v>2</v>
      </c>
      <c r="J71" t="s">
        <v>107</v>
      </c>
      <c r="K71">
        <v>1</v>
      </c>
      <c r="L71" t="s">
        <v>44</v>
      </c>
      <c r="M71">
        <v>4</v>
      </c>
      <c r="N71" t="b">
        <v>1</v>
      </c>
      <c r="O71" t="b">
        <v>0</v>
      </c>
      <c r="P71">
        <v>62857</v>
      </c>
    </row>
    <row r="72" spans="1:16" x14ac:dyDescent="0.3">
      <c r="A72" t="s">
        <v>162</v>
      </c>
      <c r="B72" t="s">
        <v>163</v>
      </c>
      <c r="C72" t="s">
        <v>18</v>
      </c>
      <c r="D72" t="s">
        <v>19</v>
      </c>
      <c r="E72" t="s">
        <v>20</v>
      </c>
      <c r="F72">
        <v>1106</v>
      </c>
      <c r="G72">
        <v>63963</v>
      </c>
      <c r="H72">
        <v>2022</v>
      </c>
      <c r="I72">
        <v>2</v>
      </c>
      <c r="J72" t="s">
        <v>107</v>
      </c>
      <c r="K72">
        <v>1</v>
      </c>
      <c r="L72" t="s">
        <v>22</v>
      </c>
      <c r="M72">
        <v>5</v>
      </c>
      <c r="N72" t="b">
        <v>1</v>
      </c>
      <c r="O72" t="b">
        <v>0</v>
      </c>
      <c r="P72">
        <v>63963</v>
      </c>
    </row>
    <row r="73" spans="1:16" x14ac:dyDescent="0.3">
      <c r="A73" t="s">
        <v>164</v>
      </c>
      <c r="B73" t="s">
        <v>165</v>
      </c>
      <c r="C73" t="s">
        <v>18</v>
      </c>
      <c r="D73" t="s">
        <v>19</v>
      </c>
      <c r="E73" t="s">
        <v>20</v>
      </c>
      <c r="F73">
        <v>842</v>
      </c>
      <c r="G73">
        <v>64805</v>
      </c>
      <c r="H73">
        <v>2022</v>
      </c>
      <c r="I73">
        <v>2</v>
      </c>
      <c r="J73" t="s">
        <v>107</v>
      </c>
      <c r="K73">
        <v>1</v>
      </c>
      <c r="L73" t="s">
        <v>25</v>
      </c>
      <c r="M73">
        <v>6</v>
      </c>
      <c r="N73" t="b">
        <v>1</v>
      </c>
      <c r="O73" t="b">
        <v>0</v>
      </c>
      <c r="P73">
        <v>64805</v>
      </c>
    </row>
    <row r="74" spans="1:16" x14ac:dyDescent="0.3">
      <c r="A74" t="s">
        <v>166</v>
      </c>
      <c r="B74" t="s">
        <v>167</v>
      </c>
      <c r="C74" t="s">
        <v>18</v>
      </c>
      <c r="D74" t="s">
        <v>19</v>
      </c>
      <c r="E74" t="s">
        <v>20</v>
      </c>
      <c r="F74">
        <v>735</v>
      </c>
      <c r="G74">
        <v>65540</v>
      </c>
      <c r="H74">
        <v>2022</v>
      </c>
      <c r="I74">
        <v>2</v>
      </c>
      <c r="J74" t="s">
        <v>107</v>
      </c>
      <c r="K74">
        <v>1</v>
      </c>
      <c r="L74" t="s">
        <v>28</v>
      </c>
      <c r="M74">
        <v>0</v>
      </c>
      <c r="N74" t="b">
        <v>1</v>
      </c>
      <c r="O74" t="b">
        <v>0</v>
      </c>
      <c r="P74">
        <v>65540</v>
      </c>
    </row>
    <row r="75" spans="1:16" x14ac:dyDescent="0.3">
      <c r="A75" t="s">
        <v>168</v>
      </c>
      <c r="B75" t="s">
        <v>169</v>
      </c>
      <c r="C75" t="s">
        <v>18</v>
      </c>
      <c r="D75" t="s">
        <v>19</v>
      </c>
      <c r="E75" t="s">
        <v>20</v>
      </c>
      <c r="F75">
        <v>726</v>
      </c>
      <c r="G75">
        <v>66266</v>
      </c>
      <c r="H75">
        <v>2022</v>
      </c>
      <c r="I75">
        <v>3</v>
      </c>
      <c r="J75" t="s">
        <v>170</v>
      </c>
      <c r="K75">
        <v>1</v>
      </c>
      <c r="L75" t="s">
        <v>31</v>
      </c>
      <c r="M75">
        <v>1</v>
      </c>
      <c r="N75" t="b">
        <v>1</v>
      </c>
      <c r="O75" t="b">
        <v>0</v>
      </c>
      <c r="P75">
        <v>66266</v>
      </c>
    </row>
    <row r="76" spans="1:16" x14ac:dyDescent="0.3">
      <c r="A76" t="s">
        <v>171</v>
      </c>
      <c r="B76" t="s">
        <v>172</v>
      </c>
      <c r="C76" t="s">
        <v>18</v>
      </c>
      <c r="D76" t="s">
        <v>19</v>
      </c>
      <c r="E76" t="s">
        <v>20</v>
      </c>
      <c r="F76">
        <v>485</v>
      </c>
      <c r="G76">
        <v>66751</v>
      </c>
      <c r="H76">
        <v>2022</v>
      </c>
      <c r="I76">
        <v>3</v>
      </c>
      <c r="J76" t="s">
        <v>170</v>
      </c>
      <c r="K76">
        <v>1</v>
      </c>
      <c r="L76" t="s">
        <v>38</v>
      </c>
      <c r="M76">
        <v>2</v>
      </c>
      <c r="N76" t="b">
        <v>1</v>
      </c>
      <c r="O76" t="b">
        <v>0</v>
      </c>
      <c r="P76">
        <v>66751</v>
      </c>
    </row>
    <row r="77" spans="1:16" x14ac:dyDescent="0.3">
      <c r="A77" t="s">
        <v>173</v>
      </c>
      <c r="B77" t="s">
        <v>174</v>
      </c>
      <c r="C77" t="s">
        <v>18</v>
      </c>
      <c r="D77" t="s">
        <v>19</v>
      </c>
      <c r="E77" t="s">
        <v>20</v>
      </c>
      <c r="F77">
        <v>569</v>
      </c>
      <c r="G77">
        <v>67320</v>
      </c>
      <c r="H77">
        <v>2022</v>
      </c>
      <c r="I77">
        <v>3</v>
      </c>
      <c r="J77" t="s">
        <v>170</v>
      </c>
      <c r="K77">
        <v>1</v>
      </c>
      <c r="L77" t="s">
        <v>41</v>
      </c>
      <c r="M77">
        <v>3</v>
      </c>
      <c r="N77" t="b">
        <v>1</v>
      </c>
      <c r="O77" t="b">
        <v>0</v>
      </c>
      <c r="P77">
        <v>67320</v>
      </c>
    </row>
    <row r="78" spans="1:16" x14ac:dyDescent="0.3">
      <c r="A78" t="s">
        <v>175</v>
      </c>
      <c r="B78" t="s">
        <v>176</v>
      </c>
      <c r="C78" t="s">
        <v>18</v>
      </c>
      <c r="D78" t="s">
        <v>19</v>
      </c>
      <c r="E78" t="s">
        <v>20</v>
      </c>
      <c r="F78">
        <v>533</v>
      </c>
      <c r="G78">
        <v>67853</v>
      </c>
      <c r="H78">
        <v>2022</v>
      </c>
      <c r="I78">
        <v>3</v>
      </c>
      <c r="J78" t="s">
        <v>170</v>
      </c>
      <c r="K78">
        <v>1</v>
      </c>
      <c r="L78" t="s">
        <v>44</v>
      </c>
      <c r="M78">
        <v>4</v>
      </c>
      <c r="N78" t="b">
        <v>1</v>
      </c>
      <c r="O78" t="b">
        <v>0</v>
      </c>
      <c r="P78">
        <v>67853</v>
      </c>
    </row>
    <row r="79" spans="1:16" x14ac:dyDescent="0.3">
      <c r="A79" t="s">
        <v>177</v>
      </c>
      <c r="B79" t="s">
        <v>178</v>
      </c>
      <c r="C79" t="s">
        <v>18</v>
      </c>
      <c r="D79" t="s">
        <v>19</v>
      </c>
      <c r="E79" t="s">
        <v>20</v>
      </c>
      <c r="F79">
        <v>507</v>
      </c>
      <c r="G79">
        <v>68360</v>
      </c>
      <c r="H79">
        <v>2022</v>
      </c>
      <c r="I79">
        <v>3</v>
      </c>
      <c r="J79" t="s">
        <v>170</v>
      </c>
      <c r="K79">
        <v>1</v>
      </c>
      <c r="L79" t="s">
        <v>22</v>
      </c>
      <c r="M79">
        <v>5</v>
      </c>
      <c r="N79" t="b">
        <v>1</v>
      </c>
      <c r="O79" t="b">
        <v>0</v>
      </c>
      <c r="P79">
        <v>68360</v>
      </c>
    </row>
    <row r="80" spans="1:16" x14ac:dyDescent="0.3">
      <c r="A80" t="s">
        <v>177</v>
      </c>
      <c r="B80" t="s">
        <v>179</v>
      </c>
      <c r="C80" t="s">
        <v>33</v>
      </c>
      <c r="D80" t="s">
        <v>34</v>
      </c>
      <c r="E80" t="s">
        <v>35</v>
      </c>
      <c r="F80">
        <v>385</v>
      </c>
      <c r="G80">
        <v>67975</v>
      </c>
      <c r="H80">
        <v>2022</v>
      </c>
      <c r="I80">
        <v>3</v>
      </c>
      <c r="J80" t="s">
        <v>170</v>
      </c>
      <c r="K80">
        <v>1</v>
      </c>
      <c r="L80" t="s">
        <v>22</v>
      </c>
      <c r="M80">
        <v>5</v>
      </c>
      <c r="N80" t="b">
        <v>0</v>
      </c>
      <c r="O80" t="b">
        <v>1</v>
      </c>
      <c r="P80">
        <v>67975</v>
      </c>
    </row>
    <row r="81" spans="1:16" x14ac:dyDescent="0.3">
      <c r="A81" t="s">
        <v>180</v>
      </c>
      <c r="B81" t="s">
        <v>181</v>
      </c>
      <c r="C81" t="s">
        <v>18</v>
      </c>
      <c r="D81" t="s">
        <v>19</v>
      </c>
      <c r="E81" t="s">
        <v>20</v>
      </c>
      <c r="F81">
        <v>527</v>
      </c>
      <c r="G81">
        <v>68502</v>
      </c>
      <c r="H81">
        <v>2022</v>
      </c>
      <c r="I81">
        <v>3</v>
      </c>
      <c r="J81" t="s">
        <v>170</v>
      </c>
      <c r="K81">
        <v>1</v>
      </c>
      <c r="L81" t="s">
        <v>25</v>
      </c>
      <c r="M81">
        <v>6</v>
      </c>
      <c r="N81" t="b">
        <v>1</v>
      </c>
      <c r="O81" t="b">
        <v>0</v>
      </c>
      <c r="P81">
        <v>68502</v>
      </c>
    </row>
    <row r="82" spans="1:16" x14ac:dyDescent="0.3">
      <c r="A82" t="s">
        <v>182</v>
      </c>
      <c r="B82" t="s">
        <v>183</v>
      </c>
      <c r="C82" t="s">
        <v>18</v>
      </c>
      <c r="D82" t="s">
        <v>19</v>
      </c>
      <c r="E82" t="s">
        <v>20</v>
      </c>
      <c r="F82">
        <v>747</v>
      </c>
      <c r="G82">
        <v>69249</v>
      </c>
      <c r="H82">
        <v>2022</v>
      </c>
      <c r="I82">
        <v>3</v>
      </c>
      <c r="J82" t="s">
        <v>170</v>
      </c>
      <c r="K82">
        <v>1</v>
      </c>
      <c r="L82" t="s">
        <v>28</v>
      </c>
      <c r="M82">
        <v>0</v>
      </c>
      <c r="N82" t="b">
        <v>1</v>
      </c>
      <c r="O82" t="b">
        <v>0</v>
      </c>
      <c r="P82">
        <v>69249</v>
      </c>
    </row>
    <row r="83" spans="1:16" x14ac:dyDescent="0.3">
      <c r="A83" t="s">
        <v>184</v>
      </c>
      <c r="B83" t="s">
        <v>185</v>
      </c>
      <c r="C83" t="s">
        <v>18</v>
      </c>
      <c r="D83" t="s">
        <v>19</v>
      </c>
      <c r="E83" t="s">
        <v>20</v>
      </c>
      <c r="F83">
        <v>589</v>
      </c>
      <c r="G83">
        <v>69838</v>
      </c>
      <c r="H83">
        <v>2022</v>
      </c>
      <c r="I83">
        <v>3</v>
      </c>
      <c r="J83" t="s">
        <v>170</v>
      </c>
      <c r="K83">
        <v>1</v>
      </c>
      <c r="L83" t="s">
        <v>31</v>
      </c>
      <c r="M83">
        <v>1</v>
      </c>
      <c r="N83" t="b">
        <v>1</v>
      </c>
      <c r="O83" t="b">
        <v>0</v>
      </c>
      <c r="P83">
        <v>69838</v>
      </c>
    </row>
    <row r="84" spans="1:16" x14ac:dyDescent="0.3">
      <c r="A84" t="s">
        <v>184</v>
      </c>
      <c r="B84" t="s">
        <v>186</v>
      </c>
      <c r="C84" t="s">
        <v>33</v>
      </c>
      <c r="D84" t="s">
        <v>34</v>
      </c>
      <c r="E84" t="s">
        <v>35</v>
      </c>
      <c r="F84">
        <v>476</v>
      </c>
      <c r="G84">
        <v>69362</v>
      </c>
      <c r="H84">
        <v>2022</v>
      </c>
      <c r="I84">
        <v>3</v>
      </c>
      <c r="J84" t="s">
        <v>170</v>
      </c>
      <c r="K84">
        <v>1</v>
      </c>
      <c r="L84" t="s">
        <v>31</v>
      </c>
      <c r="M84">
        <v>1</v>
      </c>
      <c r="N84" t="b">
        <v>0</v>
      </c>
      <c r="O84" t="b">
        <v>1</v>
      </c>
      <c r="P84">
        <v>69362</v>
      </c>
    </row>
    <row r="85" spans="1:16" x14ac:dyDescent="0.3">
      <c r="A85" t="s">
        <v>187</v>
      </c>
      <c r="B85" t="s">
        <v>188</v>
      </c>
      <c r="C85" t="s">
        <v>18</v>
      </c>
      <c r="D85" t="s">
        <v>19</v>
      </c>
      <c r="E85" t="s">
        <v>20</v>
      </c>
      <c r="F85">
        <v>520</v>
      </c>
      <c r="G85">
        <v>69882</v>
      </c>
      <c r="H85">
        <v>2022</v>
      </c>
      <c r="I85">
        <v>3</v>
      </c>
      <c r="J85" t="s">
        <v>170</v>
      </c>
      <c r="K85">
        <v>1</v>
      </c>
      <c r="L85" t="s">
        <v>38</v>
      </c>
      <c r="M85">
        <v>2</v>
      </c>
      <c r="N85" t="b">
        <v>1</v>
      </c>
      <c r="O85" t="b">
        <v>0</v>
      </c>
      <c r="P85">
        <v>69882</v>
      </c>
    </row>
    <row r="86" spans="1:16" x14ac:dyDescent="0.3">
      <c r="A86" t="s">
        <v>189</v>
      </c>
      <c r="B86" t="s">
        <v>190</v>
      </c>
      <c r="C86" t="s">
        <v>18</v>
      </c>
      <c r="D86" t="s">
        <v>19</v>
      </c>
      <c r="E86" t="s">
        <v>20</v>
      </c>
      <c r="F86">
        <v>632</v>
      </c>
      <c r="G86">
        <v>70514</v>
      </c>
      <c r="H86">
        <v>2022</v>
      </c>
      <c r="I86">
        <v>3</v>
      </c>
      <c r="J86" t="s">
        <v>170</v>
      </c>
      <c r="K86">
        <v>1</v>
      </c>
      <c r="L86" t="s">
        <v>41</v>
      </c>
      <c r="M86">
        <v>3</v>
      </c>
      <c r="N86" t="b">
        <v>1</v>
      </c>
      <c r="O86" t="b">
        <v>0</v>
      </c>
      <c r="P86">
        <v>70514</v>
      </c>
    </row>
    <row r="87" spans="1:16" x14ac:dyDescent="0.3">
      <c r="A87" t="s">
        <v>191</v>
      </c>
      <c r="B87" t="s">
        <v>192</v>
      </c>
      <c r="C87" t="s">
        <v>18</v>
      </c>
      <c r="D87" t="s">
        <v>19</v>
      </c>
      <c r="E87" t="s">
        <v>20</v>
      </c>
      <c r="F87">
        <v>597</v>
      </c>
      <c r="G87">
        <v>71111</v>
      </c>
      <c r="H87">
        <v>2022</v>
      </c>
      <c r="I87">
        <v>3</v>
      </c>
      <c r="J87" t="s">
        <v>170</v>
      </c>
      <c r="K87">
        <v>1</v>
      </c>
      <c r="L87" t="s">
        <v>44</v>
      </c>
      <c r="M87">
        <v>4</v>
      </c>
      <c r="N87" t="b">
        <v>1</v>
      </c>
      <c r="O87" t="b">
        <v>0</v>
      </c>
      <c r="P87">
        <v>71111</v>
      </c>
    </row>
    <row r="88" spans="1:16" x14ac:dyDescent="0.3">
      <c r="A88" t="s">
        <v>193</v>
      </c>
      <c r="B88" t="s">
        <v>194</v>
      </c>
      <c r="C88" t="s">
        <v>18</v>
      </c>
      <c r="D88" t="s">
        <v>19</v>
      </c>
      <c r="E88" t="s">
        <v>20</v>
      </c>
      <c r="F88">
        <v>536</v>
      </c>
      <c r="G88">
        <v>71647</v>
      </c>
      <c r="H88">
        <v>2022</v>
      </c>
      <c r="I88">
        <v>3</v>
      </c>
      <c r="J88" t="s">
        <v>170</v>
      </c>
      <c r="K88">
        <v>1</v>
      </c>
      <c r="L88" t="s">
        <v>22</v>
      </c>
      <c r="M88">
        <v>5</v>
      </c>
      <c r="N88" t="b">
        <v>1</v>
      </c>
      <c r="O88" t="b">
        <v>0</v>
      </c>
      <c r="P88">
        <v>71647</v>
      </c>
    </row>
    <row r="89" spans="1:16" x14ac:dyDescent="0.3">
      <c r="A89" t="s">
        <v>195</v>
      </c>
      <c r="B89" t="s">
        <v>196</v>
      </c>
      <c r="C89" t="s">
        <v>18</v>
      </c>
      <c r="D89" t="s">
        <v>19</v>
      </c>
      <c r="E89" t="s">
        <v>20</v>
      </c>
      <c r="F89">
        <v>624</v>
      </c>
      <c r="G89">
        <v>72271</v>
      </c>
      <c r="H89">
        <v>2022</v>
      </c>
      <c r="I89">
        <v>3</v>
      </c>
      <c r="J89" t="s">
        <v>170</v>
      </c>
      <c r="K89">
        <v>1</v>
      </c>
      <c r="L89" t="s">
        <v>25</v>
      </c>
      <c r="M89">
        <v>6</v>
      </c>
      <c r="N89" t="b">
        <v>1</v>
      </c>
      <c r="O89" t="b">
        <v>0</v>
      </c>
      <c r="P89">
        <v>72271</v>
      </c>
    </row>
    <row r="90" spans="1:16" x14ac:dyDescent="0.3">
      <c r="A90" t="s">
        <v>195</v>
      </c>
      <c r="B90" t="s">
        <v>197</v>
      </c>
      <c r="C90" t="s">
        <v>33</v>
      </c>
      <c r="D90" t="s">
        <v>34</v>
      </c>
      <c r="E90" t="s">
        <v>35</v>
      </c>
      <c r="F90">
        <v>271</v>
      </c>
      <c r="G90">
        <v>72000</v>
      </c>
      <c r="H90">
        <v>2022</v>
      </c>
      <c r="I90">
        <v>3</v>
      </c>
      <c r="J90" t="s">
        <v>170</v>
      </c>
      <c r="K90">
        <v>1</v>
      </c>
      <c r="L90" t="s">
        <v>25</v>
      </c>
      <c r="M90">
        <v>6</v>
      </c>
      <c r="N90" t="b">
        <v>0</v>
      </c>
      <c r="O90" t="b">
        <v>1</v>
      </c>
      <c r="P90">
        <v>72000</v>
      </c>
    </row>
    <row r="91" spans="1:16" x14ac:dyDescent="0.3">
      <c r="A91" t="s">
        <v>198</v>
      </c>
      <c r="B91" t="s">
        <v>199</v>
      </c>
      <c r="C91" t="s">
        <v>18</v>
      </c>
      <c r="D91" t="s">
        <v>19</v>
      </c>
      <c r="E91" t="s">
        <v>20</v>
      </c>
      <c r="F91">
        <v>773</v>
      </c>
      <c r="G91">
        <v>72773</v>
      </c>
      <c r="H91">
        <v>2022</v>
      </c>
      <c r="I91">
        <v>3</v>
      </c>
      <c r="J91" t="s">
        <v>170</v>
      </c>
      <c r="K91">
        <v>1</v>
      </c>
      <c r="L91" t="s">
        <v>28</v>
      </c>
      <c r="M91">
        <v>0</v>
      </c>
      <c r="N91" t="b">
        <v>1</v>
      </c>
      <c r="O91" t="b">
        <v>0</v>
      </c>
      <c r="P91">
        <v>72773</v>
      </c>
    </row>
    <row r="92" spans="1:16" x14ac:dyDescent="0.3">
      <c r="A92" t="s">
        <v>200</v>
      </c>
      <c r="B92" t="s">
        <v>201</v>
      </c>
      <c r="C92" t="s">
        <v>18</v>
      </c>
      <c r="D92" t="s">
        <v>19</v>
      </c>
      <c r="E92" t="s">
        <v>20</v>
      </c>
      <c r="F92">
        <v>632</v>
      </c>
      <c r="G92">
        <v>73405</v>
      </c>
      <c r="H92">
        <v>2022</v>
      </c>
      <c r="I92">
        <v>3</v>
      </c>
      <c r="J92" t="s">
        <v>170</v>
      </c>
      <c r="K92">
        <v>1</v>
      </c>
      <c r="L92" t="s">
        <v>31</v>
      </c>
      <c r="M92">
        <v>1</v>
      </c>
      <c r="N92" t="b">
        <v>1</v>
      </c>
      <c r="O92" t="b">
        <v>0</v>
      </c>
      <c r="P92">
        <v>73405</v>
      </c>
    </row>
    <row r="93" spans="1:16" x14ac:dyDescent="0.3">
      <c r="A93" t="s">
        <v>202</v>
      </c>
      <c r="B93" t="s">
        <v>203</v>
      </c>
      <c r="C93" t="s">
        <v>18</v>
      </c>
      <c r="D93" t="s">
        <v>19</v>
      </c>
      <c r="E93" t="s">
        <v>20</v>
      </c>
      <c r="F93">
        <v>717</v>
      </c>
      <c r="G93">
        <v>74122</v>
      </c>
      <c r="H93">
        <v>2022</v>
      </c>
      <c r="I93">
        <v>3</v>
      </c>
      <c r="J93" t="s">
        <v>170</v>
      </c>
      <c r="K93">
        <v>1</v>
      </c>
      <c r="L93" t="s">
        <v>38</v>
      </c>
      <c r="M93">
        <v>2</v>
      </c>
      <c r="N93" t="b">
        <v>1</v>
      </c>
      <c r="O93" t="b">
        <v>0</v>
      </c>
      <c r="P93">
        <v>74122</v>
      </c>
    </row>
    <row r="94" spans="1:16" x14ac:dyDescent="0.3">
      <c r="A94" t="s">
        <v>204</v>
      </c>
      <c r="B94" t="s">
        <v>205</v>
      </c>
      <c r="C94" t="s">
        <v>18</v>
      </c>
      <c r="D94" t="s">
        <v>19</v>
      </c>
      <c r="E94" t="s">
        <v>20</v>
      </c>
      <c r="F94">
        <v>451</v>
      </c>
      <c r="G94">
        <v>74573</v>
      </c>
      <c r="H94">
        <v>2022</v>
      </c>
      <c r="I94">
        <v>3</v>
      </c>
      <c r="J94" t="s">
        <v>170</v>
      </c>
      <c r="K94">
        <v>1</v>
      </c>
      <c r="L94" t="s">
        <v>41</v>
      </c>
      <c r="M94">
        <v>3</v>
      </c>
      <c r="N94" t="b">
        <v>1</v>
      </c>
      <c r="O94" t="b">
        <v>0</v>
      </c>
      <c r="P94">
        <v>74573</v>
      </c>
    </row>
    <row r="95" spans="1:16" x14ac:dyDescent="0.3">
      <c r="A95" t="s">
        <v>206</v>
      </c>
      <c r="B95" t="s">
        <v>207</v>
      </c>
      <c r="C95" t="s">
        <v>18</v>
      </c>
      <c r="D95" t="s">
        <v>19</v>
      </c>
      <c r="E95" t="s">
        <v>20</v>
      </c>
      <c r="F95">
        <v>694</v>
      </c>
      <c r="G95">
        <v>75267</v>
      </c>
      <c r="H95">
        <v>2022</v>
      </c>
      <c r="I95">
        <v>3</v>
      </c>
      <c r="J95" t="s">
        <v>170</v>
      </c>
      <c r="K95">
        <v>1</v>
      </c>
      <c r="L95" t="s">
        <v>44</v>
      </c>
      <c r="M95">
        <v>4</v>
      </c>
      <c r="N95" t="b">
        <v>1</v>
      </c>
      <c r="O95" t="b">
        <v>0</v>
      </c>
      <c r="P95">
        <v>75267</v>
      </c>
    </row>
    <row r="96" spans="1:16" x14ac:dyDescent="0.3">
      <c r="A96" t="s">
        <v>208</v>
      </c>
      <c r="B96" t="s">
        <v>209</v>
      </c>
      <c r="C96" t="s">
        <v>33</v>
      </c>
      <c r="D96" t="s">
        <v>34</v>
      </c>
      <c r="E96" t="s">
        <v>35</v>
      </c>
      <c r="F96">
        <v>180</v>
      </c>
      <c r="G96">
        <v>75599</v>
      </c>
      <c r="H96">
        <v>2022</v>
      </c>
      <c r="I96">
        <v>3</v>
      </c>
      <c r="J96" t="s">
        <v>170</v>
      </c>
      <c r="K96">
        <v>1</v>
      </c>
      <c r="L96" t="s">
        <v>22</v>
      </c>
      <c r="M96">
        <v>5</v>
      </c>
      <c r="N96" t="b">
        <v>0</v>
      </c>
      <c r="O96" t="b">
        <v>1</v>
      </c>
      <c r="P96">
        <v>75087</v>
      </c>
    </row>
    <row r="97" spans="1:16" x14ac:dyDescent="0.3">
      <c r="A97" t="s">
        <v>208</v>
      </c>
      <c r="B97" t="s">
        <v>210</v>
      </c>
      <c r="C97" t="s">
        <v>18</v>
      </c>
      <c r="D97" t="s">
        <v>19</v>
      </c>
      <c r="E97" t="s">
        <v>20</v>
      </c>
      <c r="F97">
        <v>512</v>
      </c>
      <c r="G97">
        <v>75779</v>
      </c>
      <c r="H97">
        <v>2022</v>
      </c>
      <c r="I97">
        <v>3</v>
      </c>
      <c r="J97" t="s">
        <v>170</v>
      </c>
      <c r="K97">
        <v>1</v>
      </c>
      <c r="L97" t="s">
        <v>22</v>
      </c>
      <c r="M97">
        <v>5</v>
      </c>
      <c r="N97" t="b">
        <v>1</v>
      </c>
      <c r="O97" t="b">
        <v>0</v>
      </c>
      <c r="P97">
        <v>75599</v>
      </c>
    </row>
    <row r="98" spans="1:16" x14ac:dyDescent="0.3">
      <c r="A98" t="s">
        <v>211</v>
      </c>
      <c r="B98" t="s">
        <v>212</v>
      </c>
      <c r="C98" t="s">
        <v>18</v>
      </c>
      <c r="D98" t="s">
        <v>19</v>
      </c>
      <c r="E98" t="s">
        <v>20</v>
      </c>
      <c r="F98">
        <v>512</v>
      </c>
      <c r="G98">
        <v>76111</v>
      </c>
      <c r="H98">
        <v>2022</v>
      </c>
      <c r="I98">
        <v>3</v>
      </c>
      <c r="J98" t="s">
        <v>170</v>
      </c>
      <c r="K98">
        <v>1</v>
      </c>
      <c r="L98" t="s">
        <v>25</v>
      </c>
      <c r="M98">
        <v>6</v>
      </c>
      <c r="N98" t="b">
        <v>1</v>
      </c>
      <c r="O98" t="b">
        <v>0</v>
      </c>
      <c r="P98">
        <v>76111</v>
      </c>
    </row>
    <row r="99" spans="1:16" x14ac:dyDescent="0.3">
      <c r="A99" t="s">
        <v>213</v>
      </c>
      <c r="B99" t="s">
        <v>214</v>
      </c>
      <c r="C99" t="s">
        <v>18</v>
      </c>
      <c r="D99" t="s">
        <v>19</v>
      </c>
      <c r="E99" t="s">
        <v>20</v>
      </c>
      <c r="F99">
        <v>619</v>
      </c>
      <c r="G99">
        <v>76730</v>
      </c>
      <c r="H99">
        <v>2022</v>
      </c>
      <c r="I99">
        <v>3</v>
      </c>
      <c r="J99" t="s">
        <v>170</v>
      </c>
      <c r="K99">
        <v>1</v>
      </c>
      <c r="L99" t="s">
        <v>28</v>
      </c>
      <c r="M99">
        <v>0</v>
      </c>
      <c r="N99" t="b">
        <v>1</v>
      </c>
      <c r="O99" t="b">
        <v>0</v>
      </c>
      <c r="P99">
        <v>76730</v>
      </c>
    </row>
    <row r="100" spans="1:16" x14ac:dyDescent="0.3">
      <c r="A100" t="s">
        <v>213</v>
      </c>
      <c r="B100" t="s">
        <v>215</v>
      </c>
      <c r="C100" t="s">
        <v>55</v>
      </c>
      <c r="D100" t="s">
        <v>56</v>
      </c>
      <c r="E100" t="s">
        <v>35</v>
      </c>
      <c r="F100">
        <v>323</v>
      </c>
      <c r="G100">
        <v>76407</v>
      </c>
      <c r="H100">
        <v>2022</v>
      </c>
      <c r="I100">
        <v>3</v>
      </c>
      <c r="J100" t="s">
        <v>170</v>
      </c>
      <c r="K100">
        <v>1</v>
      </c>
      <c r="L100" t="s">
        <v>28</v>
      </c>
      <c r="M100">
        <v>0</v>
      </c>
      <c r="N100" t="b">
        <v>0</v>
      </c>
      <c r="O100" t="b">
        <v>1</v>
      </c>
      <c r="P100">
        <v>76407</v>
      </c>
    </row>
    <row r="101" spans="1:16" x14ac:dyDescent="0.3">
      <c r="A101" t="s">
        <v>216</v>
      </c>
      <c r="B101" t="s">
        <v>217</v>
      </c>
      <c r="C101" t="s">
        <v>18</v>
      </c>
      <c r="D101" t="s">
        <v>19</v>
      </c>
      <c r="E101" t="s">
        <v>20</v>
      </c>
      <c r="F101">
        <v>784</v>
      </c>
      <c r="G101">
        <v>77191</v>
      </c>
      <c r="H101">
        <v>2022</v>
      </c>
      <c r="I101">
        <v>3</v>
      </c>
      <c r="J101" t="s">
        <v>170</v>
      </c>
      <c r="K101">
        <v>1</v>
      </c>
      <c r="L101" t="s">
        <v>31</v>
      </c>
      <c r="M101">
        <v>1</v>
      </c>
      <c r="N101" t="b">
        <v>1</v>
      </c>
      <c r="O101" t="b">
        <v>0</v>
      </c>
      <c r="P101">
        <v>77191</v>
      </c>
    </row>
    <row r="102" spans="1:16" x14ac:dyDescent="0.3">
      <c r="A102" t="s">
        <v>218</v>
      </c>
      <c r="B102" t="s">
        <v>219</v>
      </c>
      <c r="C102" t="s">
        <v>18</v>
      </c>
      <c r="D102" t="s">
        <v>19</v>
      </c>
      <c r="E102" t="s">
        <v>20</v>
      </c>
      <c r="F102">
        <v>529</v>
      </c>
      <c r="G102">
        <v>77720</v>
      </c>
      <c r="H102">
        <v>2022</v>
      </c>
      <c r="I102">
        <v>3</v>
      </c>
      <c r="J102" t="s">
        <v>170</v>
      </c>
      <c r="K102">
        <v>1</v>
      </c>
      <c r="L102" t="s">
        <v>38</v>
      </c>
      <c r="M102">
        <v>2</v>
      </c>
      <c r="N102" t="b">
        <v>1</v>
      </c>
      <c r="O102" t="b">
        <v>0</v>
      </c>
      <c r="P102">
        <v>77720</v>
      </c>
    </row>
    <row r="103" spans="1:16" x14ac:dyDescent="0.3">
      <c r="A103" t="s">
        <v>220</v>
      </c>
      <c r="B103" t="s">
        <v>221</v>
      </c>
      <c r="C103" t="s">
        <v>18</v>
      </c>
      <c r="D103" t="s">
        <v>19</v>
      </c>
      <c r="E103" t="s">
        <v>20</v>
      </c>
      <c r="F103">
        <v>617</v>
      </c>
      <c r="G103">
        <v>78337</v>
      </c>
      <c r="H103">
        <v>2022</v>
      </c>
      <c r="I103">
        <v>3</v>
      </c>
      <c r="J103" t="s">
        <v>170</v>
      </c>
      <c r="K103">
        <v>1</v>
      </c>
      <c r="L103" t="s">
        <v>41</v>
      </c>
      <c r="M103">
        <v>3</v>
      </c>
      <c r="N103" t="b">
        <v>1</v>
      </c>
      <c r="O103" t="b">
        <v>0</v>
      </c>
      <c r="P103">
        <v>78337</v>
      </c>
    </row>
    <row r="104" spans="1:16" x14ac:dyDescent="0.3">
      <c r="A104" t="s">
        <v>222</v>
      </c>
      <c r="B104" t="s">
        <v>223</v>
      </c>
      <c r="C104" t="s">
        <v>18</v>
      </c>
      <c r="D104" t="s">
        <v>19</v>
      </c>
      <c r="E104" t="s">
        <v>20</v>
      </c>
      <c r="F104">
        <v>646</v>
      </c>
      <c r="G104">
        <v>78983</v>
      </c>
      <c r="H104">
        <v>2022</v>
      </c>
      <c r="I104">
        <v>3</v>
      </c>
      <c r="J104" t="s">
        <v>170</v>
      </c>
      <c r="K104">
        <v>1</v>
      </c>
      <c r="L104" t="s">
        <v>44</v>
      </c>
      <c r="M104">
        <v>4</v>
      </c>
      <c r="N104" t="b">
        <v>1</v>
      </c>
      <c r="O104" t="b">
        <v>0</v>
      </c>
      <c r="P104">
        <v>78983</v>
      </c>
    </row>
    <row r="105" spans="1:16" x14ac:dyDescent="0.3">
      <c r="A105" t="s">
        <v>224</v>
      </c>
      <c r="B105" t="s">
        <v>225</v>
      </c>
      <c r="C105" t="s">
        <v>18</v>
      </c>
      <c r="D105" t="s">
        <v>19</v>
      </c>
      <c r="E105" t="s">
        <v>20</v>
      </c>
      <c r="F105">
        <v>602</v>
      </c>
      <c r="G105">
        <v>79585</v>
      </c>
      <c r="H105">
        <v>2022</v>
      </c>
      <c r="I105">
        <v>3</v>
      </c>
      <c r="J105" t="s">
        <v>170</v>
      </c>
      <c r="K105">
        <v>1</v>
      </c>
      <c r="L105" t="s">
        <v>22</v>
      </c>
      <c r="M105">
        <v>5</v>
      </c>
      <c r="N105" t="b">
        <v>1</v>
      </c>
      <c r="O105" t="b">
        <v>0</v>
      </c>
      <c r="P105">
        <v>79585</v>
      </c>
    </row>
    <row r="106" spans="1:16" x14ac:dyDescent="0.3">
      <c r="A106" t="s">
        <v>226</v>
      </c>
      <c r="B106" t="s">
        <v>227</v>
      </c>
      <c r="C106" t="s">
        <v>18</v>
      </c>
      <c r="D106" t="s">
        <v>19</v>
      </c>
      <c r="E106" t="s">
        <v>20</v>
      </c>
      <c r="F106">
        <v>654</v>
      </c>
      <c r="G106">
        <v>80239</v>
      </c>
      <c r="H106">
        <v>2022</v>
      </c>
      <c r="I106">
        <v>3</v>
      </c>
      <c r="J106" t="s">
        <v>170</v>
      </c>
      <c r="K106">
        <v>1</v>
      </c>
      <c r="L106" t="s">
        <v>25</v>
      </c>
      <c r="M106">
        <v>6</v>
      </c>
      <c r="N106" t="b">
        <v>1</v>
      </c>
      <c r="O106" t="b">
        <v>0</v>
      </c>
      <c r="P106">
        <v>80239</v>
      </c>
    </row>
    <row r="107" spans="1:16" x14ac:dyDescent="0.3">
      <c r="A107" t="s">
        <v>228</v>
      </c>
      <c r="B107" t="s">
        <v>229</v>
      </c>
      <c r="C107" t="s">
        <v>18</v>
      </c>
      <c r="D107" t="s">
        <v>19</v>
      </c>
      <c r="E107" t="s">
        <v>20</v>
      </c>
      <c r="F107">
        <v>724</v>
      </c>
      <c r="G107">
        <v>80963</v>
      </c>
      <c r="H107">
        <v>2022</v>
      </c>
      <c r="I107">
        <v>3</v>
      </c>
      <c r="J107" t="s">
        <v>170</v>
      </c>
      <c r="K107">
        <v>1</v>
      </c>
      <c r="L107" t="s">
        <v>28</v>
      </c>
      <c r="M107">
        <v>0</v>
      </c>
      <c r="N107" t="b">
        <v>1</v>
      </c>
      <c r="O107" t="b">
        <v>0</v>
      </c>
      <c r="P107">
        <v>80963</v>
      </c>
    </row>
    <row r="108" spans="1:16" x14ac:dyDescent="0.3">
      <c r="A108" t="s">
        <v>230</v>
      </c>
      <c r="B108" t="s">
        <v>231</v>
      </c>
      <c r="C108" t="s">
        <v>18</v>
      </c>
      <c r="D108" t="s">
        <v>19</v>
      </c>
      <c r="E108" t="s">
        <v>20</v>
      </c>
      <c r="F108">
        <v>597</v>
      </c>
      <c r="G108">
        <v>81560</v>
      </c>
      <c r="H108">
        <v>2022</v>
      </c>
      <c r="I108">
        <v>3</v>
      </c>
      <c r="J108" t="s">
        <v>170</v>
      </c>
      <c r="K108">
        <v>1</v>
      </c>
      <c r="L108" t="s">
        <v>31</v>
      </c>
      <c r="M108">
        <v>1</v>
      </c>
      <c r="N108" t="b">
        <v>1</v>
      </c>
      <c r="O108" t="b">
        <v>0</v>
      </c>
      <c r="P108">
        <v>81560</v>
      </c>
    </row>
    <row r="109" spans="1:16" x14ac:dyDescent="0.3">
      <c r="A109" t="s">
        <v>232</v>
      </c>
      <c r="B109" t="s">
        <v>233</v>
      </c>
      <c r="C109" t="s">
        <v>18</v>
      </c>
      <c r="D109" t="s">
        <v>19</v>
      </c>
      <c r="E109" t="s">
        <v>20</v>
      </c>
      <c r="F109">
        <v>639</v>
      </c>
      <c r="G109">
        <v>82199</v>
      </c>
      <c r="H109">
        <v>2022</v>
      </c>
      <c r="I109">
        <v>3</v>
      </c>
      <c r="J109" t="s">
        <v>170</v>
      </c>
      <c r="K109">
        <v>1</v>
      </c>
      <c r="L109" t="s">
        <v>38</v>
      </c>
      <c r="M109">
        <v>2</v>
      </c>
      <c r="N109" t="b">
        <v>1</v>
      </c>
      <c r="O109" t="b">
        <v>0</v>
      </c>
      <c r="P109">
        <v>82199</v>
      </c>
    </row>
    <row r="110" spans="1:16" x14ac:dyDescent="0.3">
      <c r="A110" t="s">
        <v>234</v>
      </c>
      <c r="B110" t="s">
        <v>235</v>
      </c>
      <c r="C110" t="s">
        <v>18</v>
      </c>
      <c r="D110" t="s">
        <v>19</v>
      </c>
      <c r="E110" t="s">
        <v>20</v>
      </c>
      <c r="F110">
        <v>600</v>
      </c>
      <c r="G110">
        <v>82799</v>
      </c>
      <c r="H110">
        <v>2022</v>
      </c>
      <c r="I110">
        <v>3</v>
      </c>
      <c r="J110" t="s">
        <v>170</v>
      </c>
      <c r="K110">
        <v>1</v>
      </c>
      <c r="L110" t="s">
        <v>41</v>
      </c>
      <c r="M110">
        <v>3</v>
      </c>
      <c r="N110" t="b">
        <v>1</v>
      </c>
      <c r="O110" t="b">
        <v>0</v>
      </c>
      <c r="P110">
        <v>82799</v>
      </c>
    </row>
    <row r="111" spans="1:16" x14ac:dyDescent="0.3">
      <c r="A111" t="s">
        <v>236</v>
      </c>
      <c r="B111" t="s">
        <v>237</v>
      </c>
      <c r="C111" t="s">
        <v>18</v>
      </c>
      <c r="D111" t="s">
        <v>19</v>
      </c>
      <c r="E111" t="s">
        <v>20</v>
      </c>
      <c r="F111">
        <v>725</v>
      </c>
      <c r="G111">
        <v>83524</v>
      </c>
      <c r="H111">
        <v>2022</v>
      </c>
      <c r="I111">
        <v>4</v>
      </c>
      <c r="J111" t="s">
        <v>238</v>
      </c>
      <c r="K111">
        <v>2</v>
      </c>
      <c r="L111" t="s">
        <v>44</v>
      </c>
      <c r="M111">
        <v>4</v>
      </c>
      <c r="N111" t="b">
        <v>1</v>
      </c>
      <c r="O111" t="b">
        <v>0</v>
      </c>
      <c r="P111">
        <v>83524</v>
      </c>
    </row>
    <row r="112" spans="1:16" x14ac:dyDescent="0.3">
      <c r="A112" t="s">
        <v>239</v>
      </c>
      <c r="B112" t="s">
        <v>240</v>
      </c>
      <c r="C112" t="s">
        <v>18</v>
      </c>
      <c r="D112" t="s">
        <v>19</v>
      </c>
      <c r="E112" t="s">
        <v>20</v>
      </c>
      <c r="F112">
        <v>658</v>
      </c>
      <c r="G112">
        <v>84182</v>
      </c>
      <c r="H112">
        <v>2022</v>
      </c>
      <c r="I112">
        <v>4</v>
      </c>
      <c r="J112" t="s">
        <v>238</v>
      </c>
      <c r="K112">
        <v>2</v>
      </c>
      <c r="L112" t="s">
        <v>22</v>
      </c>
      <c r="M112">
        <v>5</v>
      </c>
      <c r="N112" t="b">
        <v>1</v>
      </c>
      <c r="O112" t="b">
        <v>0</v>
      </c>
      <c r="P112">
        <v>84182</v>
      </c>
    </row>
    <row r="113" spans="1:16" x14ac:dyDescent="0.3">
      <c r="A113" t="s">
        <v>241</v>
      </c>
      <c r="B113" t="s">
        <v>242</v>
      </c>
      <c r="C113" t="s">
        <v>18</v>
      </c>
      <c r="D113" t="s">
        <v>19</v>
      </c>
      <c r="E113" t="s">
        <v>20</v>
      </c>
      <c r="F113">
        <v>745</v>
      </c>
      <c r="G113">
        <v>84927</v>
      </c>
      <c r="H113">
        <v>2022</v>
      </c>
      <c r="I113">
        <v>4</v>
      </c>
      <c r="J113" t="s">
        <v>238</v>
      </c>
      <c r="K113">
        <v>2</v>
      </c>
      <c r="L113" t="s">
        <v>25</v>
      </c>
      <c r="M113">
        <v>6</v>
      </c>
      <c r="N113" t="b">
        <v>1</v>
      </c>
      <c r="O113" t="b">
        <v>0</v>
      </c>
      <c r="P113">
        <v>84927</v>
      </c>
    </row>
    <row r="114" spans="1:16" x14ac:dyDescent="0.3">
      <c r="A114" t="s">
        <v>243</v>
      </c>
      <c r="B114" t="s">
        <v>244</v>
      </c>
      <c r="C114" t="s">
        <v>18</v>
      </c>
      <c r="D114" t="s">
        <v>19</v>
      </c>
      <c r="E114" t="s">
        <v>20</v>
      </c>
      <c r="F114">
        <v>546</v>
      </c>
      <c r="G114">
        <v>85473</v>
      </c>
      <c r="H114">
        <v>2022</v>
      </c>
      <c r="I114">
        <v>4</v>
      </c>
      <c r="J114" t="s">
        <v>238</v>
      </c>
      <c r="K114">
        <v>2</v>
      </c>
      <c r="L114" t="s">
        <v>28</v>
      </c>
      <c r="M114">
        <v>0</v>
      </c>
      <c r="N114" t="b">
        <v>1</v>
      </c>
      <c r="O114" t="b">
        <v>0</v>
      </c>
      <c r="P114">
        <v>85473</v>
      </c>
    </row>
    <row r="115" spans="1:16" x14ac:dyDescent="0.3">
      <c r="A115" t="s">
        <v>245</v>
      </c>
      <c r="B115" t="s">
        <v>246</v>
      </c>
      <c r="C115" t="s">
        <v>18</v>
      </c>
      <c r="D115" t="s">
        <v>19</v>
      </c>
      <c r="E115" t="s">
        <v>20</v>
      </c>
      <c r="F115">
        <v>598</v>
      </c>
      <c r="G115">
        <v>86071</v>
      </c>
      <c r="H115">
        <v>2022</v>
      </c>
      <c r="I115">
        <v>4</v>
      </c>
      <c r="J115" t="s">
        <v>238</v>
      </c>
      <c r="K115">
        <v>2</v>
      </c>
      <c r="L115" t="s">
        <v>31</v>
      </c>
      <c r="M115">
        <v>1</v>
      </c>
      <c r="N115" t="b">
        <v>1</v>
      </c>
      <c r="O115" t="b">
        <v>0</v>
      </c>
      <c r="P115">
        <v>86071</v>
      </c>
    </row>
    <row r="116" spans="1:16" x14ac:dyDescent="0.3">
      <c r="A116" t="s">
        <v>245</v>
      </c>
      <c r="B116" t="s">
        <v>247</v>
      </c>
      <c r="C116" t="s">
        <v>88</v>
      </c>
      <c r="D116" t="s">
        <v>56</v>
      </c>
      <c r="E116" t="s">
        <v>35</v>
      </c>
      <c r="F116">
        <v>227</v>
      </c>
      <c r="G116">
        <v>85844</v>
      </c>
      <c r="H116">
        <v>2022</v>
      </c>
      <c r="I116">
        <v>4</v>
      </c>
      <c r="J116" t="s">
        <v>238</v>
      </c>
      <c r="K116">
        <v>2</v>
      </c>
      <c r="L116" t="s">
        <v>31</v>
      </c>
      <c r="M116">
        <v>1</v>
      </c>
      <c r="N116" t="b">
        <v>0</v>
      </c>
      <c r="O116" t="b">
        <v>1</v>
      </c>
      <c r="P116">
        <v>85844</v>
      </c>
    </row>
    <row r="117" spans="1:16" x14ac:dyDescent="0.3">
      <c r="A117" t="s">
        <v>248</v>
      </c>
      <c r="B117" t="s">
        <v>249</v>
      </c>
      <c r="C117" t="s">
        <v>18</v>
      </c>
      <c r="D117" t="s">
        <v>19</v>
      </c>
      <c r="E117" t="s">
        <v>20</v>
      </c>
      <c r="F117">
        <v>759</v>
      </c>
      <c r="G117">
        <v>86603</v>
      </c>
      <c r="H117">
        <v>2022</v>
      </c>
      <c r="I117">
        <v>4</v>
      </c>
      <c r="J117" t="s">
        <v>238</v>
      </c>
      <c r="K117">
        <v>2</v>
      </c>
      <c r="L117" t="s">
        <v>38</v>
      </c>
      <c r="M117">
        <v>2</v>
      </c>
      <c r="N117" t="b">
        <v>1</v>
      </c>
      <c r="O117" t="b">
        <v>0</v>
      </c>
      <c r="P117">
        <v>86603</v>
      </c>
    </row>
    <row r="118" spans="1:16" x14ac:dyDescent="0.3">
      <c r="A118" t="s">
        <v>248</v>
      </c>
      <c r="B118" t="s">
        <v>250</v>
      </c>
      <c r="C118" t="s">
        <v>88</v>
      </c>
      <c r="D118" t="s">
        <v>56</v>
      </c>
      <c r="E118" t="s">
        <v>35</v>
      </c>
      <c r="F118">
        <v>250</v>
      </c>
      <c r="G118">
        <v>86353</v>
      </c>
      <c r="H118">
        <v>2022</v>
      </c>
      <c r="I118">
        <v>4</v>
      </c>
      <c r="J118" t="s">
        <v>238</v>
      </c>
      <c r="K118">
        <v>2</v>
      </c>
      <c r="L118" t="s">
        <v>38</v>
      </c>
      <c r="M118">
        <v>2</v>
      </c>
      <c r="N118" t="b">
        <v>0</v>
      </c>
      <c r="O118" t="b">
        <v>1</v>
      </c>
      <c r="P118">
        <v>86353</v>
      </c>
    </row>
    <row r="119" spans="1:16" x14ac:dyDescent="0.3">
      <c r="A119" t="s">
        <v>251</v>
      </c>
      <c r="B119" t="s">
        <v>252</v>
      </c>
      <c r="C119" t="s">
        <v>18</v>
      </c>
      <c r="D119" t="s">
        <v>19</v>
      </c>
      <c r="E119" t="s">
        <v>20</v>
      </c>
      <c r="F119">
        <v>498</v>
      </c>
      <c r="G119">
        <v>86851</v>
      </c>
      <c r="H119">
        <v>2022</v>
      </c>
      <c r="I119">
        <v>4</v>
      </c>
      <c r="J119" t="s">
        <v>238</v>
      </c>
      <c r="K119">
        <v>2</v>
      </c>
      <c r="L119" t="s">
        <v>41</v>
      </c>
      <c r="M119">
        <v>3</v>
      </c>
      <c r="N119" t="b">
        <v>1</v>
      </c>
      <c r="O119" t="b">
        <v>0</v>
      </c>
      <c r="P119">
        <v>86851</v>
      </c>
    </row>
    <row r="120" spans="1:16" x14ac:dyDescent="0.3">
      <c r="A120" t="s">
        <v>253</v>
      </c>
      <c r="B120" t="s">
        <v>254</v>
      </c>
      <c r="C120" t="s">
        <v>18</v>
      </c>
      <c r="D120" t="s">
        <v>19</v>
      </c>
      <c r="E120" t="s">
        <v>20</v>
      </c>
      <c r="F120">
        <v>543</v>
      </c>
      <c r="G120">
        <v>87394</v>
      </c>
      <c r="H120">
        <v>2022</v>
      </c>
      <c r="I120">
        <v>4</v>
      </c>
      <c r="J120" t="s">
        <v>238</v>
      </c>
      <c r="K120">
        <v>2</v>
      </c>
      <c r="L120" t="s">
        <v>44</v>
      </c>
      <c r="M120">
        <v>4</v>
      </c>
      <c r="N120" t="b">
        <v>1</v>
      </c>
      <c r="O120" t="b">
        <v>0</v>
      </c>
      <c r="P120">
        <v>87394</v>
      </c>
    </row>
    <row r="121" spans="1:16" x14ac:dyDescent="0.3">
      <c r="A121" t="s">
        <v>255</v>
      </c>
      <c r="B121" t="s">
        <v>256</v>
      </c>
      <c r="C121" t="s">
        <v>18</v>
      </c>
      <c r="D121" t="s">
        <v>19</v>
      </c>
      <c r="E121" t="s">
        <v>20</v>
      </c>
      <c r="F121">
        <v>459</v>
      </c>
      <c r="G121">
        <v>87853</v>
      </c>
      <c r="H121">
        <v>2022</v>
      </c>
      <c r="I121">
        <v>4</v>
      </c>
      <c r="J121" t="s">
        <v>238</v>
      </c>
      <c r="K121">
        <v>2</v>
      </c>
      <c r="L121" t="s">
        <v>22</v>
      </c>
      <c r="M121">
        <v>5</v>
      </c>
      <c r="N121" t="b">
        <v>1</v>
      </c>
      <c r="O121" t="b">
        <v>0</v>
      </c>
      <c r="P121">
        <v>87853</v>
      </c>
    </row>
    <row r="122" spans="1:16" x14ac:dyDescent="0.3">
      <c r="A122" t="s">
        <v>257</v>
      </c>
      <c r="B122" t="s">
        <v>258</v>
      </c>
      <c r="C122" t="s">
        <v>137</v>
      </c>
      <c r="D122" t="s">
        <v>34</v>
      </c>
      <c r="E122" t="s">
        <v>35</v>
      </c>
      <c r="F122">
        <v>239</v>
      </c>
      <c r="G122">
        <v>88398</v>
      </c>
      <c r="H122">
        <v>2022</v>
      </c>
      <c r="I122">
        <v>4</v>
      </c>
      <c r="J122" t="s">
        <v>238</v>
      </c>
      <c r="K122">
        <v>2</v>
      </c>
      <c r="L122" t="s">
        <v>25</v>
      </c>
      <c r="M122">
        <v>6</v>
      </c>
      <c r="N122" t="b">
        <v>0</v>
      </c>
      <c r="O122" t="b">
        <v>1</v>
      </c>
      <c r="P122">
        <v>87614</v>
      </c>
    </row>
    <row r="123" spans="1:16" x14ac:dyDescent="0.3">
      <c r="A123" t="s">
        <v>257</v>
      </c>
      <c r="B123" t="s">
        <v>259</v>
      </c>
      <c r="C123" t="s">
        <v>18</v>
      </c>
      <c r="D123" t="s">
        <v>19</v>
      </c>
      <c r="E123" t="s">
        <v>20</v>
      </c>
      <c r="F123">
        <v>784</v>
      </c>
      <c r="G123">
        <v>88637</v>
      </c>
      <c r="H123">
        <v>2022</v>
      </c>
      <c r="I123">
        <v>4</v>
      </c>
      <c r="J123" t="s">
        <v>238</v>
      </c>
      <c r="K123">
        <v>2</v>
      </c>
      <c r="L123" t="s">
        <v>25</v>
      </c>
      <c r="M123">
        <v>6</v>
      </c>
      <c r="N123" t="b">
        <v>1</v>
      </c>
      <c r="O123" t="b">
        <v>0</v>
      </c>
      <c r="P123">
        <v>88398</v>
      </c>
    </row>
    <row r="124" spans="1:16" x14ac:dyDescent="0.3">
      <c r="A124" t="s">
        <v>260</v>
      </c>
      <c r="B124" t="s">
        <v>261</v>
      </c>
      <c r="C124" t="s">
        <v>18</v>
      </c>
      <c r="D124" t="s">
        <v>19</v>
      </c>
      <c r="E124" t="s">
        <v>20</v>
      </c>
      <c r="F124">
        <v>436</v>
      </c>
      <c r="G124">
        <v>88834</v>
      </c>
      <c r="H124">
        <v>2022</v>
      </c>
      <c r="I124">
        <v>4</v>
      </c>
      <c r="J124" t="s">
        <v>238</v>
      </c>
      <c r="K124">
        <v>2</v>
      </c>
      <c r="L124" t="s">
        <v>28</v>
      </c>
      <c r="M124">
        <v>0</v>
      </c>
      <c r="N124" t="b">
        <v>1</v>
      </c>
      <c r="O124" t="b">
        <v>0</v>
      </c>
      <c r="P124">
        <v>88834</v>
      </c>
    </row>
    <row r="125" spans="1:16" x14ac:dyDescent="0.3">
      <c r="A125" t="s">
        <v>262</v>
      </c>
      <c r="B125" t="s">
        <v>263</v>
      </c>
      <c r="C125" t="s">
        <v>18</v>
      </c>
      <c r="D125" t="s">
        <v>19</v>
      </c>
      <c r="E125" t="s">
        <v>20</v>
      </c>
      <c r="F125">
        <v>408</v>
      </c>
      <c r="G125">
        <v>89242</v>
      </c>
      <c r="H125">
        <v>2022</v>
      </c>
      <c r="I125">
        <v>4</v>
      </c>
      <c r="J125" t="s">
        <v>238</v>
      </c>
      <c r="K125">
        <v>2</v>
      </c>
      <c r="L125" t="s">
        <v>31</v>
      </c>
      <c r="M125">
        <v>1</v>
      </c>
      <c r="N125" t="b">
        <v>1</v>
      </c>
      <c r="O125" t="b">
        <v>0</v>
      </c>
      <c r="P125">
        <v>89242</v>
      </c>
    </row>
    <row r="126" spans="1:16" x14ac:dyDescent="0.3">
      <c r="A126" t="s">
        <v>264</v>
      </c>
      <c r="B126" t="s">
        <v>265</v>
      </c>
      <c r="C126" t="s">
        <v>18</v>
      </c>
      <c r="D126" t="s">
        <v>19</v>
      </c>
      <c r="E126" t="s">
        <v>20</v>
      </c>
      <c r="F126">
        <v>546</v>
      </c>
      <c r="G126">
        <v>89788</v>
      </c>
      <c r="H126">
        <v>2022</v>
      </c>
      <c r="I126">
        <v>4</v>
      </c>
      <c r="J126" t="s">
        <v>238</v>
      </c>
      <c r="K126">
        <v>2</v>
      </c>
      <c r="L126" t="s">
        <v>38</v>
      </c>
      <c r="M126">
        <v>2</v>
      </c>
      <c r="N126" t="b">
        <v>1</v>
      </c>
      <c r="O126" t="b">
        <v>0</v>
      </c>
      <c r="P126">
        <v>89788</v>
      </c>
    </row>
    <row r="127" spans="1:16" x14ac:dyDescent="0.3">
      <c r="A127" t="s">
        <v>266</v>
      </c>
      <c r="B127" t="s">
        <v>267</v>
      </c>
      <c r="C127" t="s">
        <v>18</v>
      </c>
      <c r="D127" t="s">
        <v>19</v>
      </c>
      <c r="E127" t="s">
        <v>20</v>
      </c>
      <c r="F127">
        <v>530</v>
      </c>
      <c r="G127">
        <v>90318</v>
      </c>
      <c r="H127">
        <v>2022</v>
      </c>
      <c r="I127">
        <v>4</v>
      </c>
      <c r="J127" t="s">
        <v>238</v>
      </c>
      <c r="K127">
        <v>2</v>
      </c>
      <c r="L127" t="s">
        <v>41</v>
      </c>
      <c r="M127">
        <v>3</v>
      </c>
      <c r="N127" t="b">
        <v>1</v>
      </c>
      <c r="O127" t="b">
        <v>0</v>
      </c>
      <c r="P127">
        <v>90318</v>
      </c>
    </row>
    <row r="128" spans="1:16" x14ac:dyDescent="0.3">
      <c r="A128" t="s">
        <v>268</v>
      </c>
      <c r="B128" t="s">
        <v>269</v>
      </c>
      <c r="C128" t="s">
        <v>18</v>
      </c>
      <c r="D128" t="s">
        <v>19</v>
      </c>
      <c r="E128" t="s">
        <v>20</v>
      </c>
      <c r="F128">
        <v>453</v>
      </c>
      <c r="G128">
        <v>90771</v>
      </c>
      <c r="H128">
        <v>2022</v>
      </c>
      <c r="I128">
        <v>4</v>
      </c>
      <c r="J128" t="s">
        <v>238</v>
      </c>
      <c r="K128">
        <v>2</v>
      </c>
      <c r="L128" t="s">
        <v>44</v>
      </c>
      <c r="M128">
        <v>4</v>
      </c>
      <c r="N128" t="b">
        <v>1</v>
      </c>
      <c r="O128" t="b">
        <v>0</v>
      </c>
      <c r="P128">
        <v>90771</v>
      </c>
    </row>
    <row r="129" spans="1:16" x14ac:dyDescent="0.3">
      <c r="A129" t="s">
        <v>270</v>
      </c>
      <c r="B129" t="s">
        <v>271</v>
      </c>
      <c r="C129" t="s">
        <v>18</v>
      </c>
      <c r="D129" t="s">
        <v>19</v>
      </c>
      <c r="E129" t="s">
        <v>20</v>
      </c>
      <c r="F129">
        <v>515</v>
      </c>
      <c r="G129">
        <v>91286</v>
      </c>
      <c r="H129">
        <v>2022</v>
      </c>
      <c r="I129">
        <v>4</v>
      </c>
      <c r="J129" t="s">
        <v>238</v>
      </c>
      <c r="K129">
        <v>2</v>
      </c>
      <c r="L129" t="s">
        <v>22</v>
      </c>
      <c r="M129">
        <v>5</v>
      </c>
      <c r="N129" t="b">
        <v>1</v>
      </c>
      <c r="O129" t="b">
        <v>0</v>
      </c>
      <c r="P129">
        <v>91286</v>
      </c>
    </row>
    <row r="130" spans="1:16" x14ac:dyDescent="0.3">
      <c r="A130" t="s">
        <v>270</v>
      </c>
      <c r="B130" t="s">
        <v>272</v>
      </c>
      <c r="C130" t="s">
        <v>46</v>
      </c>
      <c r="D130" t="s">
        <v>34</v>
      </c>
      <c r="E130" t="s">
        <v>35</v>
      </c>
      <c r="F130">
        <v>203</v>
      </c>
      <c r="G130">
        <v>91083</v>
      </c>
      <c r="H130">
        <v>2022</v>
      </c>
      <c r="I130">
        <v>4</v>
      </c>
      <c r="J130" t="s">
        <v>238</v>
      </c>
      <c r="K130">
        <v>2</v>
      </c>
      <c r="L130" t="s">
        <v>22</v>
      </c>
      <c r="M130">
        <v>5</v>
      </c>
      <c r="N130" t="b">
        <v>0</v>
      </c>
      <c r="O130" t="b">
        <v>1</v>
      </c>
      <c r="P130">
        <v>91083</v>
      </c>
    </row>
    <row r="131" spans="1:16" x14ac:dyDescent="0.3">
      <c r="A131" t="s">
        <v>273</v>
      </c>
      <c r="B131" t="s">
        <v>274</v>
      </c>
      <c r="C131" t="s">
        <v>18</v>
      </c>
      <c r="D131" t="s">
        <v>19</v>
      </c>
      <c r="E131" t="s">
        <v>20</v>
      </c>
      <c r="F131">
        <v>653</v>
      </c>
      <c r="G131">
        <v>91736</v>
      </c>
      <c r="H131">
        <v>2022</v>
      </c>
      <c r="I131">
        <v>4</v>
      </c>
      <c r="J131" t="s">
        <v>238</v>
      </c>
      <c r="K131">
        <v>2</v>
      </c>
      <c r="L131" t="s">
        <v>25</v>
      </c>
      <c r="M131">
        <v>6</v>
      </c>
      <c r="N131" t="b">
        <v>1</v>
      </c>
      <c r="O131" t="b">
        <v>0</v>
      </c>
      <c r="P131">
        <v>91736</v>
      </c>
    </row>
    <row r="132" spans="1:16" x14ac:dyDescent="0.3">
      <c r="A132" t="s">
        <v>273</v>
      </c>
      <c r="B132" t="s">
        <v>275</v>
      </c>
      <c r="C132" t="s">
        <v>55</v>
      </c>
      <c r="D132" t="s">
        <v>56</v>
      </c>
      <c r="E132" t="s">
        <v>35</v>
      </c>
      <c r="F132">
        <v>198</v>
      </c>
      <c r="G132">
        <v>91538</v>
      </c>
      <c r="H132">
        <v>2022</v>
      </c>
      <c r="I132">
        <v>4</v>
      </c>
      <c r="J132" t="s">
        <v>238</v>
      </c>
      <c r="K132">
        <v>2</v>
      </c>
      <c r="L132" t="s">
        <v>25</v>
      </c>
      <c r="M132">
        <v>6</v>
      </c>
      <c r="N132" t="b">
        <v>0</v>
      </c>
      <c r="O132" t="b">
        <v>1</v>
      </c>
      <c r="P132">
        <v>91538</v>
      </c>
    </row>
    <row r="133" spans="1:16" x14ac:dyDescent="0.3">
      <c r="A133" t="s">
        <v>276</v>
      </c>
      <c r="B133" t="s">
        <v>277</v>
      </c>
      <c r="C133" t="s">
        <v>18</v>
      </c>
      <c r="D133" t="s">
        <v>19</v>
      </c>
      <c r="E133" t="s">
        <v>20</v>
      </c>
      <c r="F133">
        <v>748</v>
      </c>
      <c r="G133">
        <v>92286</v>
      </c>
      <c r="H133">
        <v>2022</v>
      </c>
      <c r="I133">
        <v>4</v>
      </c>
      <c r="J133" t="s">
        <v>238</v>
      </c>
      <c r="K133">
        <v>2</v>
      </c>
      <c r="L133" t="s">
        <v>28</v>
      </c>
      <c r="M133">
        <v>0</v>
      </c>
      <c r="N133" t="b">
        <v>1</v>
      </c>
      <c r="O133" t="b">
        <v>0</v>
      </c>
      <c r="P133">
        <v>92286</v>
      </c>
    </row>
    <row r="134" spans="1:16" x14ac:dyDescent="0.3">
      <c r="A134" t="s">
        <v>278</v>
      </c>
      <c r="B134" t="s">
        <v>279</v>
      </c>
      <c r="C134" t="s">
        <v>18</v>
      </c>
      <c r="D134" t="s">
        <v>19</v>
      </c>
      <c r="E134" t="s">
        <v>20</v>
      </c>
      <c r="F134">
        <v>765</v>
      </c>
      <c r="G134">
        <v>93051</v>
      </c>
      <c r="H134">
        <v>2022</v>
      </c>
      <c r="I134">
        <v>4</v>
      </c>
      <c r="J134" t="s">
        <v>238</v>
      </c>
      <c r="K134">
        <v>2</v>
      </c>
      <c r="L134" t="s">
        <v>31</v>
      </c>
      <c r="M134">
        <v>1</v>
      </c>
      <c r="N134" t="b">
        <v>1</v>
      </c>
      <c r="O134" t="b">
        <v>0</v>
      </c>
      <c r="P134">
        <v>93051</v>
      </c>
    </row>
    <row r="135" spans="1:16" x14ac:dyDescent="0.3">
      <c r="A135" t="s">
        <v>280</v>
      </c>
      <c r="B135" t="s">
        <v>281</v>
      </c>
      <c r="C135" t="s">
        <v>18</v>
      </c>
      <c r="D135" t="s">
        <v>19</v>
      </c>
      <c r="E135" t="s">
        <v>20</v>
      </c>
      <c r="F135">
        <v>709</v>
      </c>
      <c r="G135">
        <v>93760</v>
      </c>
      <c r="H135">
        <v>2022</v>
      </c>
      <c r="I135">
        <v>4</v>
      </c>
      <c r="J135" t="s">
        <v>238</v>
      </c>
      <c r="K135">
        <v>2</v>
      </c>
      <c r="L135" t="s">
        <v>38</v>
      </c>
      <c r="M135">
        <v>2</v>
      </c>
      <c r="N135" t="b">
        <v>1</v>
      </c>
      <c r="O135" t="b">
        <v>0</v>
      </c>
      <c r="P135">
        <v>93760</v>
      </c>
    </row>
    <row r="136" spans="1:16" x14ac:dyDescent="0.3">
      <c r="A136" t="s">
        <v>282</v>
      </c>
      <c r="B136" t="s">
        <v>283</v>
      </c>
      <c r="C136" t="s">
        <v>55</v>
      </c>
      <c r="D136" t="s">
        <v>56</v>
      </c>
      <c r="E136" t="s">
        <v>35</v>
      </c>
      <c r="F136">
        <v>167</v>
      </c>
      <c r="G136">
        <v>94161</v>
      </c>
      <c r="H136">
        <v>2022</v>
      </c>
      <c r="I136">
        <v>4</v>
      </c>
      <c r="J136" t="s">
        <v>238</v>
      </c>
      <c r="K136">
        <v>2</v>
      </c>
      <c r="L136" t="s">
        <v>41</v>
      </c>
      <c r="M136">
        <v>3</v>
      </c>
      <c r="N136" t="b">
        <v>0</v>
      </c>
      <c r="O136" t="b">
        <v>1</v>
      </c>
      <c r="P136">
        <v>93593</v>
      </c>
    </row>
    <row r="137" spans="1:16" x14ac:dyDescent="0.3">
      <c r="A137" t="s">
        <v>282</v>
      </c>
      <c r="B137" t="s">
        <v>284</v>
      </c>
      <c r="C137" t="s">
        <v>18</v>
      </c>
      <c r="D137" t="s">
        <v>19</v>
      </c>
      <c r="E137" t="s">
        <v>20</v>
      </c>
      <c r="F137">
        <v>568</v>
      </c>
      <c r="G137">
        <v>94328</v>
      </c>
      <c r="H137">
        <v>2022</v>
      </c>
      <c r="I137">
        <v>4</v>
      </c>
      <c r="J137" t="s">
        <v>238</v>
      </c>
      <c r="K137">
        <v>2</v>
      </c>
      <c r="L137" t="s">
        <v>41</v>
      </c>
      <c r="M137">
        <v>3</v>
      </c>
      <c r="N137" t="b">
        <v>1</v>
      </c>
      <c r="O137" t="b">
        <v>0</v>
      </c>
      <c r="P137">
        <v>94161</v>
      </c>
    </row>
    <row r="138" spans="1:16" x14ac:dyDescent="0.3">
      <c r="A138" t="s">
        <v>285</v>
      </c>
      <c r="B138" t="s">
        <v>286</v>
      </c>
      <c r="C138" t="s">
        <v>18</v>
      </c>
      <c r="D138" t="s">
        <v>19</v>
      </c>
      <c r="E138" t="s">
        <v>20</v>
      </c>
      <c r="F138">
        <v>797</v>
      </c>
      <c r="G138">
        <v>94958</v>
      </c>
      <c r="H138">
        <v>2022</v>
      </c>
      <c r="I138">
        <v>4</v>
      </c>
      <c r="J138" t="s">
        <v>238</v>
      </c>
      <c r="K138">
        <v>2</v>
      </c>
      <c r="L138" t="s">
        <v>44</v>
      </c>
      <c r="M138">
        <v>4</v>
      </c>
      <c r="N138" t="b">
        <v>1</v>
      </c>
      <c r="O138" t="b">
        <v>0</v>
      </c>
      <c r="P138">
        <v>94958</v>
      </c>
    </row>
    <row r="139" spans="1:16" x14ac:dyDescent="0.3">
      <c r="A139" t="s">
        <v>287</v>
      </c>
      <c r="B139" t="s">
        <v>288</v>
      </c>
      <c r="C139" t="s">
        <v>18</v>
      </c>
      <c r="D139" t="s">
        <v>19</v>
      </c>
      <c r="E139" t="s">
        <v>20</v>
      </c>
      <c r="F139">
        <v>783</v>
      </c>
      <c r="G139">
        <v>95741</v>
      </c>
      <c r="H139">
        <v>2022</v>
      </c>
      <c r="I139">
        <v>4</v>
      </c>
      <c r="J139" t="s">
        <v>238</v>
      </c>
      <c r="K139">
        <v>2</v>
      </c>
      <c r="L139" t="s">
        <v>22</v>
      </c>
      <c r="M139">
        <v>5</v>
      </c>
      <c r="N139" t="b">
        <v>1</v>
      </c>
      <c r="O139" t="b">
        <v>0</v>
      </c>
      <c r="P139">
        <v>95741</v>
      </c>
    </row>
    <row r="140" spans="1:16" x14ac:dyDescent="0.3">
      <c r="A140" t="s">
        <v>289</v>
      </c>
      <c r="B140" t="s">
        <v>290</v>
      </c>
      <c r="C140" t="s">
        <v>18</v>
      </c>
      <c r="D140" t="s">
        <v>19</v>
      </c>
      <c r="E140" t="s">
        <v>20</v>
      </c>
      <c r="F140">
        <v>594</v>
      </c>
      <c r="G140">
        <v>96335</v>
      </c>
      <c r="H140">
        <v>2022</v>
      </c>
      <c r="I140">
        <v>4</v>
      </c>
      <c r="J140" t="s">
        <v>238</v>
      </c>
      <c r="K140">
        <v>2</v>
      </c>
      <c r="L140" t="s">
        <v>25</v>
      </c>
      <c r="M140">
        <v>6</v>
      </c>
      <c r="N140" t="b">
        <v>1</v>
      </c>
      <c r="O140" t="b">
        <v>0</v>
      </c>
      <c r="P140">
        <v>96335</v>
      </c>
    </row>
    <row r="141" spans="1:16" x14ac:dyDescent="0.3">
      <c r="A141" t="s">
        <v>291</v>
      </c>
      <c r="B141" t="s">
        <v>292</v>
      </c>
      <c r="C141" t="s">
        <v>18</v>
      </c>
      <c r="D141" t="s">
        <v>19</v>
      </c>
      <c r="E141" t="s">
        <v>20</v>
      </c>
      <c r="F141">
        <v>432</v>
      </c>
      <c r="G141">
        <v>96767</v>
      </c>
      <c r="H141">
        <v>2022</v>
      </c>
      <c r="I141">
        <v>4</v>
      </c>
      <c r="J141" t="s">
        <v>238</v>
      </c>
      <c r="K141">
        <v>2</v>
      </c>
      <c r="L141" t="s">
        <v>28</v>
      </c>
      <c r="M141">
        <v>0</v>
      </c>
      <c r="N141" t="b">
        <v>1</v>
      </c>
      <c r="O141" t="b">
        <v>0</v>
      </c>
      <c r="P141">
        <v>96767</v>
      </c>
    </row>
    <row r="142" spans="1:16" x14ac:dyDescent="0.3">
      <c r="A142" t="s">
        <v>293</v>
      </c>
      <c r="B142" t="s">
        <v>294</v>
      </c>
      <c r="C142" t="s">
        <v>18</v>
      </c>
      <c r="D142" t="s">
        <v>19</v>
      </c>
      <c r="E142" t="s">
        <v>20</v>
      </c>
      <c r="F142">
        <v>770</v>
      </c>
      <c r="G142">
        <v>97537</v>
      </c>
      <c r="H142">
        <v>2022</v>
      </c>
      <c r="I142">
        <v>4</v>
      </c>
      <c r="J142" t="s">
        <v>238</v>
      </c>
      <c r="K142">
        <v>2</v>
      </c>
      <c r="L142" t="s">
        <v>31</v>
      </c>
      <c r="M142">
        <v>1</v>
      </c>
      <c r="N142" t="b">
        <v>1</v>
      </c>
      <c r="O142" t="b">
        <v>0</v>
      </c>
      <c r="P142">
        <v>97537</v>
      </c>
    </row>
    <row r="143" spans="1:16" x14ac:dyDescent="0.3">
      <c r="A143" t="s">
        <v>295</v>
      </c>
      <c r="B143" t="s">
        <v>296</v>
      </c>
      <c r="C143" t="s">
        <v>18</v>
      </c>
      <c r="D143" t="s">
        <v>19</v>
      </c>
      <c r="E143" t="s">
        <v>20</v>
      </c>
      <c r="F143">
        <v>421</v>
      </c>
      <c r="G143">
        <v>97958</v>
      </c>
      <c r="H143">
        <v>2022</v>
      </c>
      <c r="I143">
        <v>4</v>
      </c>
      <c r="J143" t="s">
        <v>238</v>
      </c>
      <c r="K143">
        <v>2</v>
      </c>
      <c r="L143" t="s">
        <v>38</v>
      </c>
      <c r="M143">
        <v>2</v>
      </c>
      <c r="N143" t="b">
        <v>1</v>
      </c>
      <c r="O143" t="b">
        <v>0</v>
      </c>
      <c r="P143">
        <v>97958</v>
      </c>
    </row>
    <row r="144" spans="1:16" x14ac:dyDescent="0.3">
      <c r="A144" t="s">
        <v>297</v>
      </c>
      <c r="B144" t="s">
        <v>298</v>
      </c>
      <c r="C144" t="s">
        <v>18</v>
      </c>
      <c r="D144" t="s">
        <v>19</v>
      </c>
      <c r="E144" t="s">
        <v>20</v>
      </c>
      <c r="F144">
        <v>437</v>
      </c>
      <c r="G144">
        <v>98395</v>
      </c>
      <c r="H144">
        <v>2022</v>
      </c>
      <c r="I144">
        <v>4</v>
      </c>
      <c r="J144" t="s">
        <v>238</v>
      </c>
      <c r="K144">
        <v>2</v>
      </c>
      <c r="L144" t="s">
        <v>41</v>
      </c>
      <c r="M144">
        <v>3</v>
      </c>
      <c r="N144" t="b">
        <v>1</v>
      </c>
      <c r="O144" t="b">
        <v>0</v>
      </c>
      <c r="P144">
        <v>98395</v>
      </c>
    </row>
    <row r="145" spans="1:16" x14ac:dyDescent="0.3">
      <c r="A145" t="s">
        <v>299</v>
      </c>
      <c r="B145" t="s">
        <v>300</v>
      </c>
      <c r="C145" t="s">
        <v>18</v>
      </c>
      <c r="D145" t="s">
        <v>19</v>
      </c>
      <c r="E145" t="s">
        <v>20</v>
      </c>
      <c r="F145">
        <v>450</v>
      </c>
      <c r="G145">
        <v>98845</v>
      </c>
      <c r="H145">
        <v>2022</v>
      </c>
      <c r="I145">
        <v>4</v>
      </c>
      <c r="J145" t="s">
        <v>238</v>
      </c>
      <c r="K145">
        <v>2</v>
      </c>
      <c r="L145" t="s">
        <v>44</v>
      </c>
      <c r="M145">
        <v>4</v>
      </c>
      <c r="N145" t="b">
        <v>1</v>
      </c>
      <c r="O145" t="b">
        <v>0</v>
      </c>
      <c r="P145">
        <v>98845</v>
      </c>
    </row>
    <row r="146" spans="1:16" x14ac:dyDescent="0.3">
      <c r="A146" t="s">
        <v>301</v>
      </c>
      <c r="B146" t="s">
        <v>302</v>
      </c>
      <c r="C146" t="s">
        <v>18</v>
      </c>
      <c r="D146" t="s">
        <v>19</v>
      </c>
      <c r="E146" t="s">
        <v>20</v>
      </c>
      <c r="F146">
        <v>682</v>
      </c>
      <c r="G146">
        <v>99527</v>
      </c>
      <c r="H146">
        <v>2022</v>
      </c>
      <c r="I146">
        <v>4</v>
      </c>
      <c r="J146" t="s">
        <v>238</v>
      </c>
      <c r="K146">
        <v>2</v>
      </c>
      <c r="L146" t="s">
        <v>22</v>
      </c>
      <c r="M146">
        <v>5</v>
      </c>
      <c r="N146" t="b">
        <v>1</v>
      </c>
      <c r="O146" t="b">
        <v>0</v>
      </c>
      <c r="P146">
        <v>99527</v>
      </c>
    </row>
    <row r="147" spans="1:16" x14ac:dyDescent="0.3">
      <c r="A147" t="s">
        <v>303</v>
      </c>
      <c r="B147" t="s">
        <v>304</v>
      </c>
      <c r="C147" t="s">
        <v>18</v>
      </c>
      <c r="D147" t="s">
        <v>19</v>
      </c>
      <c r="E147" t="s">
        <v>20</v>
      </c>
      <c r="F147">
        <v>676</v>
      </c>
      <c r="G147">
        <v>100203</v>
      </c>
      <c r="H147">
        <v>2022</v>
      </c>
      <c r="I147">
        <v>5</v>
      </c>
      <c r="J147" t="s">
        <v>305</v>
      </c>
      <c r="K147">
        <v>2</v>
      </c>
      <c r="L147" t="s">
        <v>25</v>
      </c>
      <c r="M147">
        <v>6</v>
      </c>
      <c r="N147" t="b">
        <v>1</v>
      </c>
      <c r="O147" t="b">
        <v>0</v>
      </c>
      <c r="P147">
        <v>100203</v>
      </c>
    </row>
    <row r="148" spans="1:16" x14ac:dyDescent="0.3">
      <c r="A148" t="s">
        <v>306</v>
      </c>
      <c r="B148" t="s">
        <v>307</v>
      </c>
      <c r="C148" t="s">
        <v>18</v>
      </c>
      <c r="D148" t="s">
        <v>19</v>
      </c>
      <c r="E148" t="s">
        <v>20</v>
      </c>
      <c r="F148">
        <v>683</v>
      </c>
      <c r="G148">
        <v>100886</v>
      </c>
      <c r="H148">
        <v>2022</v>
      </c>
      <c r="I148">
        <v>5</v>
      </c>
      <c r="J148" t="s">
        <v>305</v>
      </c>
      <c r="K148">
        <v>2</v>
      </c>
      <c r="L148" t="s">
        <v>28</v>
      </c>
      <c r="M148">
        <v>0</v>
      </c>
      <c r="N148" t="b">
        <v>1</v>
      </c>
      <c r="O148" t="b">
        <v>0</v>
      </c>
      <c r="P148">
        <v>100886</v>
      </c>
    </row>
    <row r="149" spans="1:16" x14ac:dyDescent="0.3">
      <c r="A149" t="s">
        <v>308</v>
      </c>
      <c r="B149" t="s">
        <v>309</v>
      </c>
      <c r="C149" t="s">
        <v>18</v>
      </c>
      <c r="D149" t="s">
        <v>19</v>
      </c>
      <c r="E149" t="s">
        <v>20</v>
      </c>
      <c r="F149">
        <v>716</v>
      </c>
      <c r="G149">
        <v>101602</v>
      </c>
      <c r="H149">
        <v>2022</v>
      </c>
      <c r="I149">
        <v>5</v>
      </c>
      <c r="J149" t="s">
        <v>305</v>
      </c>
      <c r="K149">
        <v>2</v>
      </c>
      <c r="L149" t="s">
        <v>31</v>
      </c>
      <c r="M149">
        <v>1</v>
      </c>
      <c r="N149" t="b">
        <v>1</v>
      </c>
      <c r="O149" t="b">
        <v>0</v>
      </c>
      <c r="P149">
        <v>101602</v>
      </c>
    </row>
    <row r="150" spans="1:16" x14ac:dyDescent="0.3">
      <c r="A150" t="s">
        <v>310</v>
      </c>
      <c r="B150" t="s">
        <v>311</v>
      </c>
      <c r="C150" t="s">
        <v>55</v>
      </c>
      <c r="D150" t="s">
        <v>56</v>
      </c>
      <c r="E150" t="s">
        <v>35</v>
      </c>
      <c r="F150">
        <v>148</v>
      </c>
      <c r="G150">
        <v>101857</v>
      </c>
      <c r="H150">
        <v>2022</v>
      </c>
      <c r="I150">
        <v>5</v>
      </c>
      <c r="J150" t="s">
        <v>305</v>
      </c>
      <c r="K150">
        <v>2</v>
      </c>
      <c r="L150" t="s">
        <v>38</v>
      </c>
      <c r="M150">
        <v>2</v>
      </c>
      <c r="N150" t="b">
        <v>0</v>
      </c>
      <c r="O150" t="b">
        <v>1</v>
      </c>
      <c r="P150">
        <v>101454</v>
      </c>
    </row>
    <row r="151" spans="1:16" x14ac:dyDescent="0.3">
      <c r="A151" t="s">
        <v>310</v>
      </c>
      <c r="B151" t="s">
        <v>312</v>
      </c>
      <c r="C151" t="s">
        <v>18</v>
      </c>
      <c r="D151" t="s">
        <v>19</v>
      </c>
      <c r="E151" t="s">
        <v>20</v>
      </c>
      <c r="F151">
        <v>403</v>
      </c>
      <c r="G151">
        <v>102005</v>
      </c>
      <c r="H151">
        <v>2022</v>
      </c>
      <c r="I151">
        <v>5</v>
      </c>
      <c r="J151" t="s">
        <v>305</v>
      </c>
      <c r="K151">
        <v>2</v>
      </c>
      <c r="L151" t="s">
        <v>38</v>
      </c>
      <c r="M151">
        <v>2</v>
      </c>
      <c r="N151" t="b">
        <v>1</v>
      </c>
      <c r="O151" t="b">
        <v>0</v>
      </c>
      <c r="P151">
        <v>101857</v>
      </c>
    </row>
    <row r="152" spans="1:16" x14ac:dyDescent="0.3">
      <c r="A152" t="s">
        <v>313</v>
      </c>
      <c r="B152" t="s">
        <v>314</v>
      </c>
      <c r="C152" t="s">
        <v>18</v>
      </c>
      <c r="D152" t="s">
        <v>19</v>
      </c>
      <c r="E152" t="s">
        <v>20</v>
      </c>
      <c r="F152">
        <v>571</v>
      </c>
      <c r="G152">
        <v>102428</v>
      </c>
      <c r="H152">
        <v>2022</v>
      </c>
      <c r="I152">
        <v>5</v>
      </c>
      <c r="J152" t="s">
        <v>305</v>
      </c>
      <c r="K152">
        <v>2</v>
      </c>
      <c r="L152" t="s">
        <v>41</v>
      </c>
      <c r="M152">
        <v>3</v>
      </c>
      <c r="N152" t="b">
        <v>1</v>
      </c>
      <c r="O152" t="b">
        <v>0</v>
      </c>
      <c r="P152">
        <v>102428</v>
      </c>
    </row>
    <row r="153" spans="1:16" x14ac:dyDescent="0.3">
      <c r="A153" t="s">
        <v>315</v>
      </c>
      <c r="B153" t="s">
        <v>316</v>
      </c>
      <c r="C153" t="s">
        <v>18</v>
      </c>
      <c r="D153" t="s">
        <v>19</v>
      </c>
      <c r="E153" t="s">
        <v>20</v>
      </c>
      <c r="F153">
        <v>445</v>
      </c>
      <c r="G153">
        <v>102873</v>
      </c>
      <c r="H153">
        <v>2022</v>
      </c>
      <c r="I153">
        <v>5</v>
      </c>
      <c r="J153" t="s">
        <v>305</v>
      </c>
      <c r="K153">
        <v>2</v>
      </c>
      <c r="L153" t="s">
        <v>44</v>
      </c>
      <c r="M153">
        <v>4</v>
      </c>
      <c r="N153" t="b">
        <v>1</v>
      </c>
      <c r="O153" t="b">
        <v>0</v>
      </c>
      <c r="P153">
        <v>102873</v>
      </c>
    </row>
    <row r="154" spans="1:16" x14ac:dyDescent="0.3">
      <c r="A154" t="s">
        <v>317</v>
      </c>
      <c r="B154" t="s">
        <v>318</v>
      </c>
      <c r="C154" t="s">
        <v>18</v>
      </c>
      <c r="D154" t="s">
        <v>19</v>
      </c>
      <c r="E154" t="s">
        <v>20</v>
      </c>
      <c r="F154">
        <v>498</v>
      </c>
      <c r="G154">
        <v>103371</v>
      </c>
      <c r="H154">
        <v>2022</v>
      </c>
      <c r="I154">
        <v>5</v>
      </c>
      <c r="J154" t="s">
        <v>305</v>
      </c>
      <c r="K154">
        <v>2</v>
      </c>
      <c r="L154" t="s">
        <v>22</v>
      </c>
      <c r="M154">
        <v>5</v>
      </c>
      <c r="N154" t="b">
        <v>1</v>
      </c>
      <c r="O154" t="b">
        <v>0</v>
      </c>
      <c r="P154">
        <v>103371</v>
      </c>
    </row>
    <row r="155" spans="1:16" x14ac:dyDescent="0.3">
      <c r="A155" t="s">
        <v>319</v>
      </c>
      <c r="B155" t="s">
        <v>320</v>
      </c>
      <c r="C155" t="s">
        <v>18</v>
      </c>
      <c r="D155" t="s">
        <v>19</v>
      </c>
      <c r="E155" t="s">
        <v>20</v>
      </c>
      <c r="F155">
        <v>436</v>
      </c>
      <c r="G155">
        <v>103807</v>
      </c>
      <c r="H155">
        <v>2022</v>
      </c>
      <c r="I155">
        <v>5</v>
      </c>
      <c r="J155" t="s">
        <v>305</v>
      </c>
      <c r="K155">
        <v>2</v>
      </c>
      <c r="L155" t="s">
        <v>25</v>
      </c>
      <c r="M155">
        <v>6</v>
      </c>
      <c r="N155" t="b">
        <v>1</v>
      </c>
      <c r="O155" t="b">
        <v>0</v>
      </c>
      <c r="P155">
        <v>103807</v>
      </c>
    </row>
    <row r="156" spans="1:16" x14ac:dyDescent="0.3">
      <c r="A156" t="s">
        <v>321</v>
      </c>
      <c r="B156" t="s">
        <v>322</v>
      </c>
      <c r="C156" t="s">
        <v>18</v>
      </c>
      <c r="D156" t="s">
        <v>19</v>
      </c>
      <c r="E156" t="s">
        <v>20</v>
      </c>
      <c r="F156">
        <v>701</v>
      </c>
      <c r="G156">
        <v>104508</v>
      </c>
      <c r="H156">
        <v>2022</v>
      </c>
      <c r="I156">
        <v>5</v>
      </c>
      <c r="J156" t="s">
        <v>305</v>
      </c>
      <c r="K156">
        <v>2</v>
      </c>
      <c r="L156" t="s">
        <v>28</v>
      </c>
      <c r="M156">
        <v>0</v>
      </c>
      <c r="N156" t="b">
        <v>1</v>
      </c>
      <c r="O156" t="b">
        <v>0</v>
      </c>
      <c r="P156">
        <v>104508</v>
      </c>
    </row>
    <row r="157" spans="1:16" x14ac:dyDescent="0.3">
      <c r="A157" t="s">
        <v>323</v>
      </c>
      <c r="B157" t="s">
        <v>324</v>
      </c>
      <c r="C157" t="s">
        <v>18</v>
      </c>
      <c r="D157" t="s">
        <v>19</v>
      </c>
      <c r="E157" t="s">
        <v>20</v>
      </c>
      <c r="F157">
        <v>498</v>
      </c>
      <c r="G157">
        <v>105006</v>
      </c>
      <c r="H157">
        <v>2022</v>
      </c>
      <c r="I157">
        <v>5</v>
      </c>
      <c r="J157" t="s">
        <v>305</v>
      </c>
      <c r="K157">
        <v>2</v>
      </c>
      <c r="L157" t="s">
        <v>31</v>
      </c>
      <c r="M157">
        <v>1</v>
      </c>
      <c r="N157" t="b">
        <v>1</v>
      </c>
      <c r="O157" t="b">
        <v>0</v>
      </c>
      <c r="P157">
        <v>105006</v>
      </c>
    </row>
    <row r="158" spans="1:16" x14ac:dyDescent="0.3">
      <c r="A158" t="s">
        <v>325</v>
      </c>
      <c r="B158" t="s">
        <v>326</v>
      </c>
      <c r="C158" t="s">
        <v>18</v>
      </c>
      <c r="D158" t="s">
        <v>19</v>
      </c>
      <c r="E158" t="s">
        <v>20</v>
      </c>
      <c r="F158">
        <v>515</v>
      </c>
      <c r="G158">
        <v>105521</v>
      </c>
      <c r="H158">
        <v>2022</v>
      </c>
      <c r="I158">
        <v>5</v>
      </c>
      <c r="J158" t="s">
        <v>305</v>
      </c>
      <c r="K158">
        <v>2</v>
      </c>
      <c r="L158" t="s">
        <v>38</v>
      </c>
      <c r="M158">
        <v>2</v>
      </c>
      <c r="N158" t="b">
        <v>1</v>
      </c>
      <c r="O158" t="b">
        <v>0</v>
      </c>
      <c r="P158">
        <v>105521</v>
      </c>
    </row>
    <row r="159" spans="1:16" x14ac:dyDescent="0.3">
      <c r="A159" t="s">
        <v>327</v>
      </c>
      <c r="B159" t="s">
        <v>328</v>
      </c>
      <c r="C159" t="s">
        <v>18</v>
      </c>
      <c r="D159" t="s">
        <v>19</v>
      </c>
      <c r="E159" t="s">
        <v>20</v>
      </c>
      <c r="F159">
        <v>560</v>
      </c>
      <c r="G159">
        <v>106081</v>
      </c>
      <c r="H159">
        <v>2022</v>
      </c>
      <c r="I159">
        <v>5</v>
      </c>
      <c r="J159" t="s">
        <v>305</v>
      </c>
      <c r="K159">
        <v>2</v>
      </c>
      <c r="L159" t="s">
        <v>41</v>
      </c>
      <c r="M159">
        <v>3</v>
      </c>
      <c r="N159" t="b">
        <v>1</v>
      </c>
      <c r="O159" t="b">
        <v>0</v>
      </c>
      <c r="P159">
        <v>106081</v>
      </c>
    </row>
    <row r="160" spans="1:16" x14ac:dyDescent="0.3">
      <c r="A160" t="s">
        <v>329</v>
      </c>
      <c r="B160" t="s">
        <v>330</v>
      </c>
      <c r="C160" t="s">
        <v>18</v>
      </c>
      <c r="D160" t="s">
        <v>19</v>
      </c>
      <c r="E160" t="s">
        <v>20</v>
      </c>
      <c r="F160">
        <v>527</v>
      </c>
      <c r="G160">
        <v>106608</v>
      </c>
      <c r="H160">
        <v>2022</v>
      </c>
      <c r="I160">
        <v>5</v>
      </c>
      <c r="J160" t="s">
        <v>305</v>
      </c>
      <c r="K160">
        <v>2</v>
      </c>
      <c r="L160" t="s">
        <v>44</v>
      </c>
      <c r="M160">
        <v>4</v>
      </c>
      <c r="N160" t="b">
        <v>1</v>
      </c>
      <c r="O160" t="b">
        <v>0</v>
      </c>
      <c r="P160">
        <v>106608</v>
      </c>
    </row>
    <row r="161" spans="1:16" x14ac:dyDescent="0.3">
      <c r="A161" t="s">
        <v>331</v>
      </c>
      <c r="B161" t="s">
        <v>332</v>
      </c>
      <c r="C161" t="s">
        <v>18</v>
      </c>
      <c r="D161" t="s">
        <v>19</v>
      </c>
      <c r="E161" t="s">
        <v>20</v>
      </c>
      <c r="F161">
        <v>622</v>
      </c>
      <c r="G161">
        <v>107230</v>
      </c>
      <c r="H161">
        <v>2022</v>
      </c>
      <c r="I161">
        <v>5</v>
      </c>
      <c r="J161" t="s">
        <v>305</v>
      </c>
      <c r="K161">
        <v>2</v>
      </c>
      <c r="L161" t="s">
        <v>22</v>
      </c>
      <c r="M161">
        <v>5</v>
      </c>
      <c r="N161" t="b">
        <v>1</v>
      </c>
      <c r="O161" t="b">
        <v>0</v>
      </c>
      <c r="P161">
        <v>107230</v>
      </c>
    </row>
    <row r="162" spans="1:16" x14ac:dyDescent="0.3">
      <c r="A162" t="s">
        <v>333</v>
      </c>
      <c r="B162" t="s">
        <v>334</v>
      </c>
      <c r="C162" t="s">
        <v>18</v>
      </c>
      <c r="D162" t="s">
        <v>19</v>
      </c>
      <c r="E162" t="s">
        <v>20</v>
      </c>
      <c r="F162">
        <v>722</v>
      </c>
      <c r="G162">
        <v>107952</v>
      </c>
      <c r="H162">
        <v>2022</v>
      </c>
      <c r="I162">
        <v>5</v>
      </c>
      <c r="J162" t="s">
        <v>305</v>
      </c>
      <c r="K162">
        <v>2</v>
      </c>
      <c r="L162" t="s">
        <v>25</v>
      </c>
      <c r="M162">
        <v>6</v>
      </c>
      <c r="N162" t="b">
        <v>1</v>
      </c>
      <c r="O162" t="b">
        <v>0</v>
      </c>
      <c r="P162">
        <v>107952</v>
      </c>
    </row>
    <row r="163" spans="1:16" x14ac:dyDescent="0.3">
      <c r="A163" t="s">
        <v>335</v>
      </c>
      <c r="B163" t="s">
        <v>336</v>
      </c>
      <c r="C163" t="s">
        <v>18</v>
      </c>
      <c r="D163" t="s">
        <v>19</v>
      </c>
      <c r="E163" t="s">
        <v>20</v>
      </c>
      <c r="F163">
        <v>679</v>
      </c>
      <c r="G163">
        <v>108631</v>
      </c>
      <c r="H163">
        <v>2022</v>
      </c>
      <c r="I163">
        <v>5</v>
      </c>
      <c r="J163" t="s">
        <v>305</v>
      </c>
      <c r="K163">
        <v>2</v>
      </c>
      <c r="L163" t="s">
        <v>28</v>
      </c>
      <c r="M163">
        <v>0</v>
      </c>
      <c r="N163" t="b">
        <v>1</v>
      </c>
      <c r="O163" t="b">
        <v>0</v>
      </c>
      <c r="P163">
        <v>108631</v>
      </c>
    </row>
    <row r="164" spans="1:16" x14ac:dyDescent="0.3">
      <c r="A164" t="s">
        <v>337</v>
      </c>
      <c r="B164" t="s">
        <v>338</v>
      </c>
      <c r="C164" t="s">
        <v>18</v>
      </c>
      <c r="D164" t="s">
        <v>19</v>
      </c>
      <c r="E164" t="s">
        <v>20</v>
      </c>
      <c r="F164">
        <v>741</v>
      </c>
      <c r="G164">
        <v>109372</v>
      </c>
      <c r="H164">
        <v>2022</v>
      </c>
      <c r="I164">
        <v>5</v>
      </c>
      <c r="J164" t="s">
        <v>305</v>
      </c>
      <c r="K164">
        <v>2</v>
      </c>
      <c r="L164" t="s">
        <v>31</v>
      </c>
      <c r="M164">
        <v>1</v>
      </c>
      <c r="N164" t="b">
        <v>1</v>
      </c>
      <c r="O164" t="b">
        <v>0</v>
      </c>
      <c r="P164">
        <v>109372</v>
      </c>
    </row>
    <row r="165" spans="1:16" x14ac:dyDescent="0.3">
      <c r="A165" t="s">
        <v>339</v>
      </c>
      <c r="B165" t="s">
        <v>340</v>
      </c>
      <c r="C165" t="s">
        <v>18</v>
      </c>
      <c r="D165" t="s">
        <v>19</v>
      </c>
      <c r="E165" t="s">
        <v>20</v>
      </c>
      <c r="F165">
        <v>526</v>
      </c>
      <c r="G165">
        <v>109898</v>
      </c>
      <c r="H165">
        <v>2022</v>
      </c>
      <c r="I165">
        <v>5</v>
      </c>
      <c r="J165" t="s">
        <v>305</v>
      </c>
      <c r="K165">
        <v>2</v>
      </c>
      <c r="L165" t="s">
        <v>38</v>
      </c>
      <c r="M165">
        <v>2</v>
      </c>
      <c r="N165" t="b">
        <v>1</v>
      </c>
      <c r="O165" t="b">
        <v>0</v>
      </c>
      <c r="P165">
        <v>109898</v>
      </c>
    </row>
    <row r="166" spans="1:16" x14ac:dyDescent="0.3">
      <c r="A166" t="s">
        <v>341</v>
      </c>
      <c r="B166" t="s">
        <v>342</v>
      </c>
      <c r="C166" t="s">
        <v>18</v>
      </c>
      <c r="D166" t="s">
        <v>19</v>
      </c>
      <c r="E166" t="s">
        <v>20</v>
      </c>
      <c r="F166">
        <v>785</v>
      </c>
      <c r="G166">
        <v>110683</v>
      </c>
      <c r="H166">
        <v>2022</v>
      </c>
      <c r="I166">
        <v>5</v>
      </c>
      <c r="J166" t="s">
        <v>305</v>
      </c>
      <c r="K166">
        <v>2</v>
      </c>
      <c r="L166" t="s">
        <v>41</v>
      </c>
      <c r="M166">
        <v>3</v>
      </c>
      <c r="N166" t="b">
        <v>1</v>
      </c>
      <c r="O166" t="b">
        <v>0</v>
      </c>
      <c r="P166">
        <v>110683</v>
      </c>
    </row>
    <row r="167" spans="1:16" x14ac:dyDescent="0.3">
      <c r="A167" t="s">
        <v>343</v>
      </c>
      <c r="B167" t="s">
        <v>344</v>
      </c>
      <c r="C167" t="s">
        <v>18</v>
      </c>
      <c r="D167" t="s">
        <v>19</v>
      </c>
      <c r="E167" t="s">
        <v>20</v>
      </c>
      <c r="F167">
        <v>503</v>
      </c>
      <c r="G167">
        <v>111186</v>
      </c>
      <c r="H167">
        <v>2022</v>
      </c>
      <c r="I167">
        <v>5</v>
      </c>
      <c r="J167" t="s">
        <v>305</v>
      </c>
      <c r="K167">
        <v>2</v>
      </c>
      <c r="L167" t="s">
        <v>44</v>
      </c>
      <c r="M167">
        <v>4</v>
      </c>
      <c r="N167" t="b">
        <v>1</v>
      </c>
      <c r="O167" t="b">
        <v>0</v>
      </c>
      <c r="P167">
        <v>111186</v>
      </c>
    </row>
    <row r="168" spans="1:16" x14ac:dyDescent="0.3">
      <c r="A168" t="s">
        <v>345</v>
      </c>
      <c r="B168" t="s">
        <v>346</v>
      </c>
      <c r="C168" t="s">
        <v>18</v>
      </c>
      <c r="D168" t="s">
        <v>19</v>
      </c>
      <c r="E168" t="s">
        <v>20</v>
      </c>
      <c r="F168">
        <v>698</v>
      </c>
      <c r="G168">
        <v>111884</v>
      </c>
      <c r="H168">
        <v>2022</v>
      </c>
      <c r="I168">
        <v>5</v>
      </c>
      <c r="J168" t="s">
        <v>305</v>
      </c>
      <c r="K168">
        <v>2</v>
      </c>
      <c r="L168" t="s">
        <v>22</v>
      </c>
      <c r="M168">
        <v>5</v>
      </c>
      <c r="N168" t="b">
        <v>1</v>
      </c>
      <c r="O168" t="b">
        <v>0</v>
      </c>
      <c r="P168">
        <v>111884</v>
      </c>
    </row>
    <row r="169" spans="1:16" x14ac:dyDescent="0.3">
      <c r="A169" t="s">
        <v>347</v>
      </c>
      <c r="B169" t="s">
        <v>348</v>
      </c>
      <c r="C169" t="s">
        <v>18</v>
      </c>
      <c r="D169" t="s">
        <v>19</v>
      </c>
      <c r="E169" t="s">
        <v>20</v>
      </c>
      <c r="F169">
        <v>438</v>
      </c>
      <c r="G169">
        <v>112322</v>
      </c>
      <c r="H169">
        <v>2022</v>
      </c>
      <c r="I169">
        <v>5</v>
      </c>
      <c r="J169" t="s">
        <v>305</v>
      </c>
      <c r="K169">
        <v>2</v>
      </c>
      <c r="L169" t="s">
        <v>25</v>
      </c>
      <c r="M169">
        <v>6</v>
      </c>
      <c r="N169" t="b">
        <v>1</v>
      </c>
      <c r="O169" t="b">
        <v>0</v>
      </c>
      <c r="P169">
        <v>112322</v>
      </c>
    </row>
    <row r="170" spans="1:16" x14ac:dyDescent="0.3">
      <c r="A170" t="s">
        <v>349</v>
      </c>
      <c r="B170" t="s">
        <v>350</v>
      </c>
      <c r="C170" t="s">
        <v>18</v>
      </c>
      <c r="D170" t="s">
        <v>19</v>
      </c>
      <c r="E170" t="s">
        <v>20</v>
      </c>
      <c r="F170">
        <v>646</v>
      </c>
      <c r="G170">
        <v>112968</v>
      </c>
      <c r="H170">
        <v>2022</v>
      </c>
      <c r="I170">
        <v>5</v>
      </c>
      <c r="J170" t="s">
        <v>305</v>
      </c>
      <c r="K170">
        <v>2</v>
      </c>
      <c r="L170" t="s">
        <v>28</v>
      </c>
      <c r="M170">
        <v>0</v>
      </c>
      <c r="N170" t="b">
        <v>1</v>
      </c>
      <c r="O170" t="b">
        <v>0</v>
      </c>
      <c r="P170">
        <v>112968</v>
      </c>
    </row>
    <row r="171" spans="1:16" x14ac:dyDescent="0.3">
      <c r="A171" t="s">
        <v>351</v>
      </c>
      <c r="B171" t="s">
        <v>352</v>
      </c>
      <c r="C171" t="s">
        <v>18</v>
      </c>
      <c r="D171" t="s">
        <v>19</v>
      </c>
      <c r="E171" t="s">
        <v>20</v>
      </c>
      <c r="F171">
        <v>705</v>
      </c>
      <c r="G171">
        <v>113673</v>
      </c>
      <c r="H171">
        <v>2022</v>
      </c>
      <c r="I171">
        <v>5</v>
      </c>
      <c r="J171" t="s">
        <v>305</v>
      </c>
      <c r="K171">
        <v>2</v>
      </c>
      <c r="L171" t="s">
        <v>31</v>
      </c>
      <c r="M171">
        <v>1</v>
      </c>
      <c r="N171" t="b">
        <v>1</v>
      </c>
      <c r="O171" t="b">
        <v>0</v>
      </c>
      <c r="P171">
        <v>113673</v>
      </c>
    </row>
    <row r="172" spans="1:16" x14ac:dyDescent="0.3">
      <c r="A172" t="s">
        <v>353</v>
      </c>
      <c r="B172" t="s">
        <v>354</v>
      </c>
      <c r="C172" t="s">
        <v>18</v>
      </c>
      <c r="D172" t="s">
        <v>19</v>
      </c>
      <c r="E172" t="s">
        <v>20</v>
      </c>
      <c r="F172">
        <v>412</v>
      </c>
      <c r="G172">
        <v>114085</v>
      </c>
      <c r="H172">
        <v>2022</v>
      </c>
      <c r="I172">
        <v>5</v>
      </c>
      <c r="J172" t="s">
        <v>305</v>
      </c>
      <c r="K172">
        <v>2</v>
      </c>
      <c r="L172" t="s">
        <v>38</v>
      </c>
      <c r="M172">
        <v>2</v>
      </c>
      <c r="N172" t="b">
        <v>1</v>
      </c>
      <c r="O172" t="b">
        <v>0</v>
      </c>
      <c r="P172">
        <v>114085</v>
      </c>
    </row>
    <row r="173" spans="1:16" x14ac:dyDescent="0.3">
      <c r="A173" t="s">
        <v>353</v>
      </c>
      <c r="B173" t="s">
        <v>355</v>
      </c>
      <c r="C173" t="s">
        <v>55</v>
      </c>
      <c r="D173" t="s">
        <v>56</v>
      </c>
      <c r="E173" t="s">
        <v>35</v>
      </c>
      <c r="F173">
        <v>490</v>
      </c>
      <c r="G173">
        <v>113595</v>
      </c>
      <c r="H173">
        <v>2022</v>
      </c>
      <c r="I173">
        <v>5</v>
      </c>
      <c r="J173" t="s">
        <v>305</v>
      </c>
      <c r="K173">
        <v>2</v>
      </c>
      <c r="L173" t="s">
        <v>38</v>
      </c>
      <c r="M173">
        <v>2</v>
      </c>
      <c r="N173" t="b">
        <v>0</v>
      </c>
      <c r="O173" t="b">
        <v>1</v>
      </c>
      <c r="P173">
        <v>113595</v>
      </c>
    </row>
    <row r="174" spans="1:16" x14ac:dyDescent="0.3">
      <c r="A174" t="s">
        <v>356</v>
      </c>
      <c r="B174" t="s">
        <v>357</v>
      </c>
      <c r="C174" t="s">
        <v>18</v>
      </c>
      <c r="D174" t="s">
        <v>19</v>
      </c>
      <c r="E174" t="s">
        <v>20</v>
      </c>
      <c r="F174">
        <v>435</v>
      </c>
      <c r="G174">
        <v>114030</v>
      </c>
      <c r="H174">
        <v>2022</v>
      </c>
      <c r="I174">
        <v>5</v>
      </c>
      <c r="J174" t="s">
        <v>305</v>
      </c>
      <c r="K174">
        <v>2</v>
      </c>
      <c r="L174" t="s">
        <v>41</v>
      </c>
      <c r="M174">
        <v>3</v>
      </c>
      <c r="N174" t="b">
        <v>1</v>
      </c>
      <c r="O174" t="b">
        <v>0</v>
      </c>
      <c r="P174">
        <v>114030</v>
      </c>
    </row>
    <row r="175" spans="1:16" x14ac:dyDescent="0.3">
      <c r="A175" t="s">
        <v>358</v>
      </c>
      <c r="B175" t="s">
        <v>359</v>
      </c>
      <c r="C175" t="s">
        <v>18</v>
      </c>
      <c r="D175" t="s">
        <v>19</v>
      </c>
      <c r="E175" t="s">
        <v>20</v>
      </c>
      <c r="F175">
        <v>720</v>
      </c>
      <c r="G175">
        <v>114750</v>
      </c>
      <c r="H175">
        <v>2022</v>
      </c>
      <c r="I175">
        <v>5</v>
      </c>
      <c r="J175" t="s">
        <v>305</v>
      </c>
      <c r="K175">
        <v>2</v>
      </c>
      <c r="L175" t="s">
        <v>44</v>
      </c>
      <c r="M175">
        <v>4</v>
      </c>
      <c r="N175" t="b">
        <v>1</v>
      </c>
      <c r="O175" t="b">
        <v>0</v>
      </c>
      <c r="P175">
        <v>114750</v>
      </c>
    </row>
    <row r="176" spans="1:16" x14ac:dyDescent="0.3">
      <c r="A176" t="s">
        <v>358</v>
      </c>
      <c r="B176" t="s">
        <v>360</v>
      </c>
      <c r="C176" t="s">
        <v>46</v>
      </c>
      <c r="D176" t="s">
        <v>34</v>
      </c>
      <c r="E176" t="s">
        <v>35</v>
      </c>
      <c r="F176">
        <v>499</v>
      </c>
      <c r="G176">
        <v>114251</v>
      </c>
      <c r="H176">
        <v>2022</v>
      </c>
      <c r="I176">
        <v>5</v>
      </c>
      <c r="J176" t="s">
        <v>305</v>
      </c>
      <c r="K176">
        <v>2</v>
      </c>
      <c r="L176" t="s">
        <v>44</v>
      </c>
      <c r="M176">
        <v>4</v>
      </c>
      <c r="N176" t="b">
        <v>0</v>
      </c>
      <c r="O176" t="b">
        <v>1</v>
      </c>
      <c r="P176">
        <v>114251</v>
      </c>
    </row>
    <row r="177" spans="1:16" x14ac:dyDescent="0.3">
      <c r="A177" t="s">
        <v>361</v>
      </c>
      <c r="B177" t="s">
        <v>362</v>
      </c>
      <c r="C177" t="s">
        <v>18</v>
      </c>
      <c r="D177" t="s">
        <v>19</v>
      </c>
      <c r="E177" t="s">
        <v>20</v>
      </c>
      <c r="F177">
        <v>770</v>
      </c>
      <c r="G177">
        <v>115021</v>
      </c>
      <c r="H177">
        <v>2022</v>
      </c>
      <c r="I177">
        <v>5</v>
      </c>
      <c r="J177" t="s">
        <v>305</v>
      </c>
      <c r="K177">
        <v>2</v>
      </c>
      <c r="L177" t="s">
        <v>22</v>
      </c>
      <c r="M177">
        <v>5</v>
      </c>
      <c r="N177" t="b">
        <v>1</v>
      </c>
      <c r="O177" t="b">
        <v>0</v>
      </c>
      <c r="P177">
        <v>115021</v>
      </c>
    </row>
    <row r="178" spans="1:16" x14ac:dyDescent="0.3">
      <c r="A178" t="s">
        <v>363</v>
      </c>
      <c r="B178" t="s">
        <v>364</v>
      </c>
      <c r="C178" t="s">
        <v>18</v>
      </c>
      <c r="D178" t="s">
        <v>19</v>
      </c>
      <c r="E178" t="s">
        <v>20</v>
      </c>
      <c r="F178">
        <v>491</v>
      </c>
      <c r="G178">
        <v>115512</v>
      </c>
      <c r="H178">
        <v>2022</v>
      </c>
      <c r="I178">
        <v>5</v>
      </c>
      <c r="J178" t="s">
        <v>305</v>
      </c>
      <c r="K178">
        <v>2</v>
      </c>
      <c r="L178" t="s">
        <v>25</v>
      </c>
      <c r="M178">
        <v>6</v>
      </c>
      <c r="N178" t="b">
        <v>1</v>
      </c>
      <c r="O178" t="b">
        <v>0</v>
      </c>
      <c r="P178">
        <v>115512</v>
      </c>
    </row>
    <row r="179" spans="1:16" x14ac:dyDescent="0.3">
      <c r="A179" t="s">
        <v>365</v>
      </c>
      <c r="B179" t="s">
        <v>366</v>
      </c>
      <c r="C179" t="s">
        <v>18</v>
      </c>
      <c r="D179" t="s">
        <v>19</v>
      </c>
      <c r="E179" t="s">
        <v>20</v>
      </c>
      <c r="F179">
        <v>687</v>
      </c>
      <c r="G179">
        <v>116199</v>
      </c>
      <c r="H179">
        <v>2022</v>
      </c>
      <c r="I179">
        <v>5</v>
      </c>
      <c r="J179" t="s">
        <v>305</v>
      </c>
      <c r="K179">
        <v>2</v>
      </c>
      <c r="L179" t="s">
        <v>28</v>
      </c>
      <c r="M179">
        <v>0</v>
      </c>
      <c r="N179" t="b">
        <v>1</v>
      </c>
      <c r="O179" t="b">
        <v>0</v>
      </c>
      <c r="P179">
        <v>116199</v>
      </c>
    </row>
    <row r="180" spans="1:16" x14ac:dyDescent="0.3">
      <c r="A180" t="s">
        <v>367</v>
      </c>
      <c r="B180" t="s">
        <v>368</v>
      </c>
      <c r="C180" t="s">
        <v>18</v>
      </c>
      <c r="D180" t="s">
        <v>19</v>
      </c>
      <c r="E180" t="s">
        <v>20</v>
      </c>
      <c r="F180">
        <v>741</v>
      </c>
      <c r="G180">
        <v>116940</v>
      </c>
      <c r="H180">
        <v>2022</v>
      </c>
      <c r="I180">
        <v>5</v>
      </c>
      <c r="J180" t="s">
        <v>305</v>
      </c>
      <c r="K180">
        <v>2</v>
      </c>
      <c r="L180" t="s">
        <v>31</v>
      </c>
      <c r="M180">
        <v>1</v>
      </c>
      <c r="N180" t="b">
        <v>1</v>
      </c>
      <c r="O180" t="b">
        <v>0</v>
      </c>
      <c r="P180">
        <v>116940</v>
      </c>
    </row>
    <row r="181" spans="1:16" x14ac:dyDescent="0.3">
      <c r="A181" t="s">
        <v>369</v>
      </c>
      <c r="B181" t="s">
        <v>370</v>
      </c>
      <c r="C181" t="s">
        <v>18</v>
      </c>
      <c r="D181" t="s">
        <v>19</v>
      </c>
      <c r="E181" t="s">
        <v>20</v>
      </c>
      <c r="F181">
        <v>585</v>
      </c>
      <c r="G181">
        <v>117525</v>
      </c>
      <c r="H181">
        <v>2022</v>
      </c>
      <c r="I181">
        <v>6</v>
      </c>
      <c r="J181" t="s">
        <v>371</v>
      </c>
      <c r="K181">
        <v>2</v>
      </c>
      <c r="L181" t="s">
        <v>38</v>
      </c>
      <c r="M181">
        <v>2</v>
      </c>
      <c r="N181" t="b">
        <v>1</v>
      </c>
      <c r="O181" t="b">
        <v>0</v>
      </c>
      <c r="P181">
        <v>117525</v>
      </c>
    </row>
    <row r="182" spans="1:16" x14ac:dyDescent="0.3">
      <c r="A182" t="s">
        <v>372</v>
      </c>
      <c r="B182" t="s">
        <v>373</v>
      </c>
      <c r="C182" t="s">
        <v>18</v>
      </c>
      <c r="D182" t="s">
        <v>19</v>
      </c>
      <c r="E182" t="s">
        <v>20</v>
      </c>
      <c r="F182">
        <v>524</v>
      </c>
      <c r="G182">
        <v>118049</v>
      </c>
      <c r="H182">
        <v>2022</v>
      </c>
      <c r="I182">
        <v>6</v>
      </c>
      <c r="J182" t="s">
        <v>371</v>
      </c>
      <c r="K182">
        <v>2</v>
      </c>
      <c r="L182" t="s">
        <v>41</v>
      </c>
      <c r="M182">
        <v>3</v>
      </c>
      <c r="N182" t="b">
        <v>1</v>
      </c>
      <c r="O182" t="b">
        <v>0</v>
      </c>
      <c r="P182">
        <v>118049</v>
      </c>
    </row>
    <row r="183" spans="1:16" x14ac:dyDescent="0.3">
      <c r="A183" t="s">
        <v>374</v>
      </c>
      <c r="B183" t="s">
        <v>375</v>
      </c>
      <c r="C183" t="s">
        <v>18</v>
      </c>
      <c r="D183" t="s">
        <v>19</v>
      </c>
      <c r="E183" t="s">
        <v>20</v>
      </c>
      <c r="F183">
        <v>457</v>
      </c>
      <c r="G183">
        <v>118506</v>
      </c>
      <c r="H183">
        <v>2022</v>
      </c>
      <c r="I183">
        <v>6</v>
      </c>
      <c r="J183" t="s">
        <v>371</v>
      </c>
      <c r="K183">
        <v>2</v>
      </c>
      <c r="L183" t="s">
        <v>44</v>
      </c>
      <c r="M183">
        <v>4</v>
      </c>
      <c r="N183" t="b">
        <v>1</v>
      </c>
      <c r="O183" t="b">
        <v>0</v>
      </c>
      <c r="P183">
        <v>118506</v>
      </c>
    </row>
    <row r="184" spans="1:16" x14ac:dyDescent="0.3">
      <c r="A184" t="s">
        <v>374</v>
      </c>
      <c r="B184" t="s">
        <v>376</v>
      </c>
      <c r="C184" t="s">
        <v>88</v>
      </c>
      <c r="D184" t="s">
        <v>56</v>
      </c>
      <c r="E184" t="s">
        <v>35</v>
      </c>
      <c r="F184">
        <v>279</v>
      </c>
      <c r="G184">
        <v>118227</v>
      </c>
      <c r="H184">
        <v>2022</v>
      </c>
      <c r="I184">
        <v>6</v>
      </c>
      <c r="J184" t="s">
        <v>371</v>
      </c>
      <c r="K184">
        <v>2</v>
      </c>
      <c r="L184" t="s">
        <v>44</v>
      </c>
      <c r="M184">
        <v>4</v>
      </c>
      <c r="N184" t="b">
        <v>0</v>
      </c>
      <c r="O184" t="b">
        <v>1</v>
      </c>
      <c r="P184">
        <v>118227</v>
      </c>
    </row>
    <row r="185" spans="1:16" x14ac:dyDescent="0.3">
      <c r="A185" t="s">
        <v>377</v>
      </c>
      <c r="B185" t="s">
        <v>378</v>
      </c>
      <c r="C185" t="s">
        <v>18</v>
      </c>
      <c r="D185" t="s">
        <v>19</v>
      </c>
      <c r="E185" t="s">
        <v>20</v>
      </c>
      <c r="F185">
        <v>725</v>
      </c>
      <c r="G185">
        <v>118952</v>
      </c>
      <c r="H185">
        <v>2022</v>
      </c>
      <c r="I185">
        <v>6</v>
      </c>
      <c r="J185" t="s">
        <v>371</v>
      </c>
      <c r="K185">
        <v>2</v>
      </c>
      <c r="L185" t="s">
        <v>22</v>
      </c>
      <c r="M185">
        <v>5</v>
      </c>
      <c r="N185" t="b">
        <v>1</v>
      </c>
      <c r="O185" t="b">
        <v>0</v>
      </c>
      <c r="P185">
        <v>118952</v>
      </c>
    </row>
    <row r="186" spans="1:16" x14ac:dyDescent="0.3">
      <c r="A186" t="s">
        <v>379</v>
      </c>
      <c r="B186" t="s">
        <v>380</v>
      </c>
      <c r="C186" t="s">
        <v>18</v>
      </c>
      <c r="D186" t="s">
        <v>19</v>
      </c>
      <c r="E186" t="s">
        <v>20</v>
      </c>
      <c r="F186">
        <v>500</v>
      </c>
      <c r="G186">
        <v>119452</v>
      </c>
      <c r="H186">
        <v>2022</v>
      </c>
      <c r="I186">
        <v>6</v>
      </c>
      <c r="J186" t="s">
        <v>371</v>
      </c>
      <c r="K186">
        <v>2</v>
      </c>
      <c r="L186" t="s">
        <v>25</v>
      </c>
      <c r="M186">
        <v>6</v>
      </c>
      <c r="N186" t="b">
        <v>1</v>
      </c>
      <c r="O186" t="b">
        <v>0</v>
      </c>
      <c r="P186">
        <v>119452</v>
      </c>
    </row>
    <row r="187" spans="1:16" x14ac:dyDescent="0.3">
      <c r="A187" t="s">
        <v>381</v>
      </c>
      <c r="B187" t="s">
        <v>382</v>
      </c>
      <c r="C187" t="s">
        <v>18</v>
      </c>
      <c r="D187" t="s">
        <v>19</v>
      </c>
      <c r="E187" t="s">
        <v>20</v>
      </c>
      <c r="F187">
        <v>452</v>
      </c>
      <c r="G187">
        <v>119904</v>
      </c>
      <c r="H187">
        <v>2022</v>
      </c>
      <c r="I187">
        <v>6</v>
      </c>
      <c r="J187" t="s">
        <v>371</v>
      </c>
      <c r="K187">
        <v>2</v>
      </c>
      <c r="L187" t="s">
        <v>28</v>
      </c>
      <c r="M187">
        <v>0</v>
      </c>
      <c r="N187" t="b">
        <v>1</v>
      </c>
      <c r="O187" t="b">
        <v>0</v>
      </c>
      <c r="P187">
        <v>119904</v>
      </c>
    </row>
    <row r="188" spans="1:16" x14ac:dyDescent="0.3">
      <c r="A188" t="s">
        <v>383</v>
      </c>
      <c r="B188" t="s">
        <v>384</v>
      </c>
      <c r="C188" t="s">
        <v>18</v>
      </c>
      <c r="D188" t="s">
        <v>19</v>
      </c>
      <c r="E188" t="s">
        <v>20</v>
      </c>
      <c r="F188">
        <v>507</v>
      </c>
      <c r="G188">
        <v>120411</v>
      </c>
      <c r="H188">
        <v>2022</v>
      </c>
      <c r="I188">
        <v>6</v>
      </c>
      <c r="J188" t="s">
        <v>371</v>
      </c>
      <c r="K188">
        <v>2</v>
      </c>
      <c r="L188" t="s">
        <v>31</v>
      </c>
      <c r="M188">
        <v>1</v>
      </c>
      <c r="N188" t="b">
        <v>1</v>
      </c>
      <c r="O188" t="b">
        <v>0</v>
      </c>
      <c r="P188">
        <v>120411</v>
      </c>
    </row>
    <row r="189" spans="1:16" x14ac:dyDescent="0.3">
      <c r="A189" t="s">
        <v>385</v>
      </c>
      <c r="B189" t="s">
        <v>386</v>
      </c>
      <c r="C189" t="s">
        <v>18</v>
      </c>
      <c r="D189" t="s">
        <v>19</v>
      </c>
      <c r="E189" t="s">
        <v>20</v>
      </c>
      <c r="F189">
        <v>595</v>
      </c>
      <c r="G189">
        <v>121006</v>
      </c>
      <c r="H189">
        <v>2022</v>
      </c>
      <c r="I189">
        <v>6</v>
      </c>
      <c r="J189" t="s">
        <v>371</v>
      </c>
      <c r="K189">
        <v>2</v>
      </c>
      <c r="L189" t="s">
        <v>38</v>
      </c>
      <c r="M189">
        <v>2</v>
      </c>
      <c r="N189" t="b">
        <v>1</v>
      </c>
      <c r="O189" t="b">
        <v>0</v>
      </c>
      <c r="P189">
        <v>121006</v>
      </c>
    </row>
    <row r="190" spans="1:16" x14ac:dyDescent="0.3">
      <c r="A190" t="s">
        <v>387</v>
      </c>
      <c r="B190" t="s">
        <v>388</v>
      </c>
      <c r="C190" t="s">
        <v>18</v>
      </c>
      <c r="D190" t="s">
        <v>19</v>
      </c>
      <c r="E190" t="s">
        <v>20</v>
      </c>
      <c r="F190">
        <v>771</v>
      </c>
      <c r="G190">
        <v>121777</v>
      </c>
      <c r="H190">
        <v>2022</v>
      </c>
      <c r="I190">
        <v>6</v>
      </c>
      <c r="J190" t="s">
        <v>371</v>
      </c>
      <c r="K190">
        <v>2</v>
      </c>
      <c r="L190" t="s">
        <v>41</v>
      </c>
      <c r="M190">
        <v>3</v>
      </c>
      <c r="N190" t="b">
        <v>1</v>
      </c>
      <c r="O190" t="b">
        <v>0</v>
      </c>
      <c r="P190">
        <v>121777</v>
      </c>
    </row>
    <row r="191" spans="1:16" x14ac:dyDescent="0.3">
      <c r="A191" t="s">
        <v>389</v>
      </c>
      <c r="B191" t="s">
        <v>390</v>
      </c>
      <c r="C191" t="s">
        <v>18</v>
      </c>
      <c r="D191" t="s">
        <v>19</v>
      </c>
      <c r="E191" t="s">
        <v>20</v>
      </c>
      <c r="F191">
        <v>754</v>
      </c>
      <c r="G191">
        <v>122531</v>
      </c>
      <c r="H191">
        <v>2022</v>
      </c>
      <c r="I191">
        <v>6</v>
      </c>
      <c r="J191" t="s">
        <v>371</v>
      </c>
      <c r="K191">
        <v>2</v>
      </c>
      <c r="L191" t="s">
        <v>44</v>
      </c>
      <c r="M191">
        <v>4</v>
      </c>
      <c r="N191" t="b">
        <v>1</v>
      </c>
      <c r="O191" t="b">
        <v>0</v>
      </c>
      <c r="P191">
        <v>122531</v>
      </c>
    </row>
    <row r="192" spans="1:16" x14ac:dyDescent="0.3">
      <c r="A192" t="s">
        <v>391</v>
      </c>
      <c r="B192" t="s">
        <v>392</v>
      </c>
      <c r="C192" t="s">
        <v>46</v>
      </c>
      <c r="D192" t="s">
        <v>34</v>
      </c>
      <c r="E192" t="s">
        <v>35</v>
      </c>
      <c r="F192">
        <v>469</v>
      </c>
      <c r="G192">
        <v>122769</v>
      </c>
      <c r="H192">
        <v>2022</v>
      </c>
      <c r="I192">
        <v>6</v>
      </c>
      <c r="J192" t="s">
        <v>371</v>
      </c>
      <c r="K192">
        <v>2</v>
      </c>
      <c r="L192" t="s">
        <v>22</v>
      </c>
      <c r="M192">
        <v>5</v>
      </c>
      <c r="N192" t="b">
        <v>0</v>
      </c>
      <c r="O192" t="b">
        <v>1</v>
      </c>
      <c r="P192">
        <v>122062</v>
      </c>
    </row>
    <row r="193" spans="1:16" x14ac:dyDescent="0.3">
      <c r="A193" t="s">
        <v>391</v>
      </c>
      <c r="B193" t="s">
        <v>393</v>
      </c>
      <c r="C193" t="s">
        <v>18</v>
      </c>
      <c r="D193" t="s">
        <v>19</v>
      </c>
      <c r="E193" t="s">
        <v>20</v>
      </c>
      <c r="F193">
        <v>707</v>
      </c>
      <c r="G193">
        <v>123238</v>
      </c>
      <c r="H193">
        <v>2022</v>
      </c>
      <c r="I193">
        <v>6</v>
      </c>
      <c r="J193" t="s">
        <v>371</v>
      </c>
      <c r="K193">
        <v>2</v>
      </c>
      <c r="L193" t="s">
        <v>22</v>
      </c>
      <c r="M193">
        <v>5</v>
      </c>
      <c r="N193" t="b">
        <v>1</v>
      </c>
      <c r="O193" t="b">
        <v>0</v>
      </c>
      <c r="P193">
        <v>122769</v>
      </c>
    </row>
    <row r="194" spans="1:16" x14ac:dyDescent="0.3">
      <c r="A194" t="s">
        <v>394</v>
      </c>
      <c r="B194" t="s">
        <v>395</v>
      </c>
      <c r="C194" t="s">
        <v>18</v>
      </c>
      <c r="D194" t="s">
        <v>19</v>
      </c>
      <c r="E194" t="s">
        <v>20</v>
      </c>
      <c r="F194">
        <v>505</v>
      </c>
      <c r="G194">
        <v>123274</v>
      </c>
      <c r="H194">
        <v>2022</v>
      </c>
      <c r="I194">
        <v>6</v>
      </c>
      <c r="J194" t="s">
        <v>371</v>
      </c>
      <c r="K194">
        <v>2</v>
      </c>
      <c r="L194" t="s">
        <v>25</v>
      </c>
      <c r="M194">
        <v>6</v>
      </c>
      <c r="N194" t="b">
        <v>1</v>
      </c>
      <c r="O194" t="b">
        <v>0</v>
      </c>
      <c r="P194">
        <v>123274</v>
      </c>
    </row>
    <row r="195" spans="1:16" x14ac:dyDescent="0.3">
      <c r="A195" t="s">
        <v>396</v>
      </c>
      <c r="B195" t="s">
        <v>397</v>
      </c>
      <c r="C195" t="s">
        <v>18</v>
      </c>
      <c r="D195" t="s">
        <v>19</v>
      </c>
      <c r="E195" t="s">
        <v>20</v>
      </c>
      <c r="F195">
        <v>544</v>
      </c>
      <c r="G195">
        <v>123818</v>
      </c>
      <c r="H195">
        <v>2022</v>
      </c>
      <c r="I195">
        <v>6</v>
      </c>
      <c r="J195" t="s">
        <v>371</v>
      </c>
      <c r="K195">
        <v>2</v>
      </c>
      <c r="L195" t="s">
        <v>28</v>
      </c>
      <c r="M195">
        <v>0</v>
      </c>
      <c r="N195" t="b">
        <v>1</v>
      </c>
      <c r="O195" t="b">
        <v>0</v>
      </c>
      <c r="P195">
        <v>123818</v>
      </c>
    </row>
    <row r="196" spans="1:16" x14ac:dyDescent="0.3">
      <c r="A196" t="s">
        <v>398</v>
      </c>
      <c r="B196" t="s">
        <v>399</v>
      </c>
      <c r="C196" t="s">
        <v>18</v>
      </c>
      <c r="D196" t="s">
        <v>19</v>
      </c>
      <c r="E196" t="s">
        <v>20</v>
      </c>
      <c r="F196">
        <v>674</v>
      </c>
      <c r="G196">
        <v>124492</v>
      </c>
      <c r="H196">
        <v>2022</v>
      </c>
      <c r="I196">
        <v>6</v>
      </c>
      <c r="J196" t="s">
        <v>371</v>
      </c>
      <c r="K196">
        <v>2</v>
      </c>
      <c r="L196" t="s">
        <v>31</v>
      </c>
      <c r="M196">
        <v>1</v>
      </c>
      <c r="N196" t="b">
        <v>1</v>
      </c>
      <c r="O196" t="b">
        <v>0</v>
      </c>
      <c r="P196">
        <v>124492</v>
      </c>
    </row>
    <row r="197" spans="1:16" x14ac:dyDescent="0.3">
      <c r="A197" t="s">
        <v>400</v>
      </c>
      <c r="B197" t="s">
        <v>401</v>
      </c>
      <c r="C197" t="s">
        <v>18</v>
      </c>
      <c r="D197" t="s">
        <v>19</v>
      </c>
      <c r="E197" t="s">
        <v>20</v>
      </c>
      <c r="F197">
        <v>745</v>
      </c>
      <c r="G197">
        <v>125237</v>
      </c>
      <c r="H197">
        <v>2022</v>
      </c>
      <c r="I197">
        <v>6</v>
      </c>
      <c r="J197" t="s">
        <v>371</v>
      </c>
      <c r="K197">
        <v>2</v>
      </c>
      <c r="L197" t="s">
        <v>38</v>
      </c>
      <c r="M197">
        <v>2</v>
      </c>
      <c r="N197" t="b">
        <v>1</v>
      </c>
      <c r="O197" t="b">
        <v>0</v>
      </c>
      <c r="P197">
        <v>125237</v>
      </c>
    </row>
    <row r="198" spans="1:16" x14ac:dyDescent="0.3">
      <c r="A198" t="s">
        <v>400</v>
      </c>
      <c r="B198" t="s">
        <v>402</v>
      </c>
      <c r="C198" t="s">
        <v>55</v>
      </c>
      <c r="D198" t="s">
        <v>56</v>
      </c>
      <c r="E198" t="s">
        <v>35</v>
      </c>
      <c r="F198">
        <v>216</v>
      </c>
      <c r="G198">
        <v>125021</v>
      </c>
      <c r="H198">
        <v>2022</v>
      </c>
      <c r="I198">
        <v>6</v>
      </c>
      <c r="J198" t="s">
        <v>371</v>
      </c>
      <c r="K198">
        <v>2</v>
      </c>
      <c r="L198" t="s">
        <v>38</v>
      </c>
      <c r="M198">
        <v>2</v>
      </c>
      <c r="N198" t="b">
        <v>0</v>
      </c>
      <c r="O198" t="b">
        <v>1</v>
      </c>
      <c r="P198">
        <v>125021</v>
      </c>
    </row>
    <row r="199" spans="1:16" x14ac:dyDescent="0.3">
      <c r="A199" t="s">
        <v>403</v>
      </c>
      <c r="B199" t="s">
        <v>404</v>
      </c>
      <c r="C199" t="s">
        <v>18</v>
      </c>
      <c r="D199" t="s">
        <v>19</v>
      </c>
      <c r="E199" t="s">
        <v>20</v>
      </c>
      <c r="F199">
        <v>795</v>
      </c>
      <c r="G199">
        <v>125816</v>
      </c>
      <c r="H199">
        <v>2022</v>
      </c>
      <c r="I199">
        <v>6</v>
      </c>
      <c r="J199" t="s">
        <v>371</v>
      </c>
      <c r="K199">
        <v>2</v>
      </c>
      <c r="L199" t="s">
        <v>41</v>
      </c>
      <c r="M199">
        <v>3</v>
      </c>
      <c r="N199" t="b">
        <v>1</v>
      </c>
      <c r="O199" t="b">
        <v>0</v>
      </c>
      <c r="P199">
        <v>125816</v>
      </c>
    </row>
    <row r="200" spans="1:16" x14ac:dyDescent="0.3">
      <c r="A200" t="s">
        <v>405</v>
      </c>
      <c r="B200" t="s">
        <v>406</v>
      </c>
      <c r="C200" t="s">
        <v>18</v>
      </c>
      <c r="D200" t="s">
        <v>19</v>
      </c>
      <c r="E200" t="s">
        <v>20</v>
      </c>
      <c r="F200">
        <v>457</v>
      </c>
      <c r="G200">
        <v>126273</v>
      </c>
      <c r="H200">
        <v>2022</v>
      </c>
      <c r="I200">
        <v>6</v>
      </c>
      <c r="J200" t="s">
        <v>371</v>
      </c>
      <c r="K200">
        <v>2</v>
      </c>
      <c r="L200" t="s">
        <v>44</v>
      </c>
      <c r="M200">
        <v>4</v>
      </c>
      <c r="N200" t="b">
        <v>1</v>
      </c>
      <c r="O200" t="b">
        <v>0</v>
      </c>
      <c r="P200">
        <v>126273</v>
      </c>
    </row>
    <row r="201" spans="1:16" x14ac:dyDescent="0.3">
      <c r="A201" t="s">
        <v>407</v>
      </c>
      <c r="B201" t="s">
        <v>408</v>
      </c>
      <c r="C201" t="s">
        <v>18</v>
      </c>
      <c r="D201" t="s">
        <v>19</v>
      </c>
      <c r="E201" t="s">
        <v>20</v>
      </c>
      <c r="F201">
        <v>638</v>
      </c>
      <c r="G201">
        <v>126911</v>
      </c>
      <c r="H201">
        <v>2022</v>
      </c>
      <c r="I201">
        <v>6</v>
      </c>
      <c r="J201" t="s">
        <v>371</v>
      </c>
      <c r="K201">
        <v>2</v>
      </c>
      <c r="L201" t="s">
        <v>22</v>
      </c>
      <c r="M201">
        <v>5</v>
      </c>
      <c r="N201" t="b">
        <v>1</v>
      </c>
      <c r="O201" t="b">
        <v>0</v>
      </c>
      <c r="P201">
        <v>126911</v>
      </c>
    </row>
    <row r="202" spans="1:16" x14ac:dyDescent="0.3">
      <c r="A202" t="s">
        <v>409</v>
      </c>
      <c r="B202" t="s">
        <v>410</v>
      </c>
      <c r="C202" t="s">
        <v>18</v>
      </c>
      <c r="D202" t="s">
        <v>19</v>
      </c>
      <c r="E202" t="s">
        <v>20</v>
      </c>
      <c r="F202">
        <v>525</v>
      </c>
      <c r="G202">
        <v>127436</v>
      </c>
      <c r="H202">
        <v>2022</v>
      </c>
      <c r="I202">
        <v>6</v>
      </c>
      <c r="J202" t="s">
        <v>371</v>
      </c>
      <c r="K202">
        <v>2</v>
      </c>
      <c r="L202" t="s">
        <v>25</v>
      </c>
      <c r="M202">
        <v>6</v>
      </c>
      <c r="N202" t="b">
        <v>1</v>
      </c>
      <c r="O202" t="b">
        <v>0</v>
      </c>
      <c r="P202">
        <v>127436</v>
      </c>
    </row>
    <row r="203" spans="1:16" x14ac:dyDescent="0.3">
      <c r="A203" t="s">
        <v>409</v>
      </c>
      <c r="B203" t="s">
        <v>411</v>
      </c>
      <c r="C203" t="s">
        <v>137</v>
      </c>
      <c r="D203" t="s">
        <v>34</v>
      </c>
      <c r="E203" t="s">
        <v>35</v>
      </c>
      <c r="F203">
        <v>188</v>
      </c>
      <c r="G203">
        <v>127248</v>
      </c>
      <c r="H203">
        <v>2022</v>
      </c>
      <c r="I203">
        <v>6</v>
      </c>
      <c r="J203" t="s">
        <v>371</v>
      </c>
      <c r="K203">
        <v>2</v>
      </c>
      <c r="L203" t="s">
        <v>25</v>
      </c>
      <c r="M203">
        <v>6</v>
      </c>
      <c r="N203" t="b">
        <v>0</v>
      </c>
      <c r="O203" t="b">
        <v>1</v>
      </c>
      <c r="P203">
        <v>127248</v>
      </c>
    </row>
    <row r="204" spans="1:16" x14ac:dyDescent="0.3">
      <c r="A204" t="s">
        <v>412</v>
      </c>
      <c r="B204" t="s">
        <v>413</v>
      </c>
      <c r="C204" t="s">
        <v>18</v>
      </c>
      <c r="D204" t="s">
        <v>19</v>
      </c>
      <c r="E204" t="s">
        <v>20</v>
      </c>
      <c r="F204">
        <v>772</v>
      </c>
      <c r="G204">
        <v>128020</v>
      </c>
      <c r="H204">
        <v>2022</v>
      </c>
      <c r="I204">
        <v>6</v>
      </c>
      <c r="J204" t="s">
        <v>371</v>
      </c>
      <c r="K204">
        <v>2</v>
      </c>
      <c r="L204" t="s">
        <v>28</v>
      </c>
      <c r="M204">
        <v>0</v>
      </c>
      <c r="N204" t="b">
        <v>1</v>
      </c>
      <c r="O204" t="b">
        <v>0</v>
      </c>
      <c r="P204">
        <v>128020</v>
      </c>
    </row>
    <row r="205" spans="1:16" x14ac:dyDescent="0.3">
      <c r="A205" t="s">
        <v>414</v>
      </c>
      <c r="B205" t="s">
        <v>415</v>
      </c>
      <c r="C205" t="s">
        <v>18</v>
      </c>
      <c r="D205" t="s">
        <v>19</v>
      </c>
      <c r="E205" t="s">
        <v>20</v>
      </c>
      <c r="F205">
        <v>588</v>
      </c>
      <c r="G205">
        <v>128608</v>
      </c>
      <c r="H205">
        <v>2022</v>
      </c>
      <c r="I205">
        <v>6</v>
      </c>
      <c r="J205" t="s">
        <v>371</v>
      </c>
      <c r="K205">
        <v>2</v>
      </c>
      <c r="L205" t="s">
        <v>31</v>
      </c>
      <c r="M205">
        <v>1</v>
      </c>
      <c r="N205" t="b">
        <v>1</v>
      </c>
      <c r="O205" t="b">
        <v>0</v>
      </c>
      <c r="P205">
        <v>128608</v>
      </c>
    </row>
    <row r="206" spans="1:16" x14ac:dyDescent="0.3">
      <c r="A206" t="s">
        <v>416</v>
      </c>
      <c r="B206" t="s">
        <v>417</v>
      </c>
      <c r="C206" t="s">
        <v>18</v>
      </c>
      <c r="D206" t="s">
        <v>19</v>
      </c>
      <c r="E206" t="s">
        <v>20</v>
      </c>
      <c r="F206">
        <v>468</v>
      </c>
      <c r="G206">
        <v>129076</v>
      </c>
      <c r="H206">
        <v>2022</v>
      </c>
      <c r="I206">
        <v>6</v>
      </c>
      <c r="J206" t="s">
        <v>371</v>
      </c>
      <c r="K206">
        <v>2</v>
      </c>
      <c r="L206" t="s">
        <v>38</v>
      </c>
      <c r="M206">
        <v>2</v>
      </c>
      <c r="N206" t="b">
        <v>1</v>
      </c>
      <c r="O206" t="b">
        <v>0</v>
      </c>
      <c r="P206">
        <v>129076</v>
      </c>
    </row>
    <row r="207" spans="1:16" x14ac:dyDescent="0.3">
      <c r="A207" t="s">
        <v>418</v>
      </c>
      <c r="B207" t="s">
        <v>419</v>
      </c>
      <c r="C207" t="s">
        <v>18</v>
      </c>
      <c r="D207" t="s">
        <v>19</v>
      </c>
      <c r="E207" t="s">
        <v>20</v>
      </c>
      <c r="F207">
        <v>646</v>
      </c>
      <c r="G207">
        <v>129722</v>
      </c>
      <c r="H207">
        <v>2022</v>
      </c>
      <c r="I207">
        <v>6</v>
      </c>
      <c r="J207" t="s">
        <v>371</v>
      </c>
      <c r="K207">
        <v>2</v>
      </c>
      <c r="L207" t="s">
        <v>41</v>
      </c>
      <c r="M207">
        <v>3</v>
      </c>
      <c r="N207" t="b">
        <v>1</v>
      </c>
      <c r="O207" t="b">
        <v>0</v>
      </c>
      <c r="P207">
        <v>129722</v>
      </c>
    </row>
    <row r="208" spans="1:16" x14ac:dyDescent="0.3">
      <c r="A208" t="s">
        <v>418</v>
      </c>
      <c r="B208" t="s">
        <v>420</v>
      </c>
      <c r="C208" t="s">
        <v>33</v>
      </c>
      <c r="D208" t="s">
        <v>34</v>
      </c>
      <c r="E208" t="s">
        <v>35</v>
      </c>
      <c r="F208">
        <v>253</v>
      </c>
      <c r="G208">
        <v>129469</v>
      </c>
      <c r="H208">
        <v>2022</v>
      </c>
      <c r="I208">
        <v>6</v>
      </c>
      <c r="J208" t="s">
        <v>371</v>
      </c>
      <c r="K208">
        <v>2</v>
      </c>
      <c r="L208" t="s">
        <v>41</v>
      </c>
      <c r="M208">
        <v>3</v>
      </c>
      <c r="N208" t="b">
        <v>0</v>
      </c>
      <c r="O208" t="b">
        <v>1</v>
      </c>
      <c r="P208">
        <v>129469</v>
      </c>
    </row>
    <row r="209" spans="1:16" x14ac:dyDescent="0.3">
      <c r="A209" t="s">
        <v>421</v>
      </c>
      <c r="B209" t="s">
        <v>422</v>
      </c>
      <c r="C209" t="s">
        <v>18</v>
      </c>
      <c r="D209" t="s">
        <v>19</v>
      </c>
      <c r="E209" t="s">
        <v>20</v>
      </c>
      <c r="F209">
        <v>485</v>
      </c>
      <c r="G209">
        <v>129954</v>
      </c>
      <c r="H209">
        <v>2022</v>
      </c>
      <c r="I209">
        <v>6</v>
      </c>
      <c r="J209" t="s">
        <v>371</v>
      </c>
      <c r="K209">
        <v>2</v>
      </c>
      <c r="L209" t="s">
        <v>44</v>
      </c>
      <c r="M209">
        <v>4</v>
      </c>
      <c r="N209" t="b">
        <v>1</v>
      </c>
      <c r="O209" t="b">
        <v>0</v>
      </c>
      <c r="P209">
        <v>129954</v>
      </c>
    </row>
    <row r="210" spans="1:16" x14ac:dyDescent="0.3">
      <c r="A210" t="s">
        <v>421</v>
      </c>
      <c r="B210" t="s">
        <v>423</v>
      </c>
      <c r="C210" t="s">
        <v>137</v>
      </c>
      <c r="D210" t="s">
        <v>34</v>
      </c>
      <c r="E210" t="s">
        <v>35</v>
      </c>
      <c r="F210">
        <v>319</v>
      </c>
      <c r="G210">
        <v>129635</v>
      </c>
      <c r="H210">
        <v>2022</v>
      </c>
      <c r="I210">
        <v>6</v>
      </c>
      <c r="J210" t="s">
        <v>371</v>
      </c>
      <c r="K210">
        <v>2</v>
      </c>
      <c r="L210" t="s">
        <v>44</v>
      </c>
      <c r="M210">
        <v>4</v>
      </c>
      <c r="N210" t="b">
        <v>0</v>
      </c>
      <c r="O210" t="b">
        <v>1</v>
      </c>
      <c r="P210">
        <v>129635</v>
      </c>
    </row>
    <row r="211" spans="1:16" x14ac:dyDescent="0.3">
      <c r="A211" t="s">
        <v>424</v>
      </c>
      <c r="B211" t="s">
        <v>425</v>
      </c>
      <c r="C211" t="s">
        <v>18</v>
      </c>
      <c r="D211" t="s">
        <v>19</v>
      </c>
      <c r="E211" t="s">
        <v>20</v>
      </c>
      <c r="F211">
        <v>446</v>
      </c>
      <c r="G211">
        <v>130081</v>
      </c>
      <c r="H211">
        <v>2022</v>
      </c>
      <c r="I211">
        <v>6</v>
      </c>
      <c r="J211" t="s">
        <v>371</v>
      </c>
      <c r="K211">
        <v>2</v>
      </c>
      <c r="L211" t="s">
        <v>22</v>
      </c>
      <c r="M211">
        <v>5</v>
      </c>
      <c r="N211" t="b">
        <v>1</v>
      </c>
      <c r="O211" t="b">
        <v>0</v>
      </c>
      <c r="P211">
        <v>130081</v>
      </c>
    </row>
    <row r="212" spans="1:16" x14ac:dyDescent="0.3">
      <c r="A212" t="s">
        <v>424</v>
      </c>
      <c r="B212" t="s">
        <v>426</v>
      </c>
      <c r="C212" t="s">
        <v>46</v>
      </c>
      <c r="D212" t="s">
        <v>34</v>
      </c>
      <c r="E212" t="s">
        <v>35</v>
      </c>
      <c r="F212">
        <v>337</v>
      </c>
      <c r="G212">
        <v>129744</v>
      </c>
      <c r="H212">
        <v>2022</v>
      </c>
      <c r="I212">
        <v>6</v>
      </c>
      <c r="J212" t="s">
        <v>371</v>
      </c>
      <c r="K212">
        <v>2</v>
      </c>
      <c r="L212" t="s">
        <v>22</v>
      </c>
      <c r="M212">
        <v>5</v>
      </c>
      <c r="N212" t="b">
        <v>0</v>
      </c>
      <c r="O212" t="b">
        <v>1</v>
      </c>
      <c r="P212">
        <v>129744</v>
      </c>
    </row>
    <row r="213" spans="1:16" x14ac:dyDescent="0.3">
      <c r="A213" t="s">
        <v>427</v>
      </c>
      <c r="B213" t="s">
        <v>428</v>
      </c>
      <c r="C213" t="s">
        <v>18</v>
      </c>
      <c r="D213" t="s">
        <v>19</v>
      </c>
      <c r="E213" t="s">
        <v>20</v>
      </c>
      <c r="F213">
        <v>603</v>
      </c>
      <c r="G213">
        <v>130347</v>
      </c>
      <c r="H213">
        <v>2022</v>
      </c>
      <c r="I213">
        <v>6</v>
      </c>
      <c r="J213" t="s">
        <v>371</v>
      </c>
      <c r="K213">
        <v>2</v>
      </c>
      <c r="L213" t="s">
        <v>25</v>
      </c>
      <c r="M213">
        <v>6</v>
      </c>
      <c r="N213" t="b">
        <v>1</v>
      </c>
      <c r="O213" t="b">
        <v>0</v>
      </c>
      <c r="P213">
        <v>130347</v>
      </c>
    </row>
    <row r="214" spans="1:16" x14ac:dyDescent="0.3">
      <c r="A214" t="s">
        <v>427</v>
      </c>
      <c r="B214" t="s">
        <v>429</v>
      </c>
      <c r="C214" t="s">
        <v>46</v>
      </c>
      <c r="D214" t="s">
        <v>34</v>
      </c>
      <c r="E214" t="s">
        <v>35</v>
      </c>
      <c r="F214">
        <v>440</v>
      </c>
      <c r="G214">
        <v>129907</v>
      </c>
      <c r="H214">
        <v>2022</v>
      </c>
      <c r="I214">
        <v>6</v>
      </c>
      <c r="J214" t="s">
        <v>371</v>
      </c>
      <c r="K214">
        <v>2</v>
      </c>
      <c r="L214" t="s">
        <v>25</v>
      </c>
      <c r="M214">
        <v>6</v>
      </c>
      <c r="N214" t="b">
        <v>0</v>
      </c>
      <c r="O214" t="b">
        <v>1</v>
      </c>
      <c r="P214">
        <v>129907</v>
      </c>
    </row>
    <row r="215" spans="1:16" x14ac:dyDescent="0.3">
      <c r="A215" t="s">
        <v>430</v>
      </c>
      <c r="B215" t="s">
        <v>431</v>
      </c>
      <c r="C215" t="s">
        <v>18</v>
      </c>
      <c r="D215" t="s">
        <v>19</v>
      </c>
      <c r="E215" t="s">
        <v>20</v>
      </c>
      <c r="F215">
        <v>688</v>
      </c>
      <c r="G215">
        <v>130595</v>
      </c>
      <c r="H215">
        <v>2022</v>
      </c>
      <c r="I215">
        <v>6</v>
      </c>
      <c r="J215" t="s">
        <v>371</v>
      </c>
      <c r="K215">
        <v>2</v>
      </c>
      <c r="L215" t="s">
        <v>28</v>
      </c>
      <c r="M215">
        <v>0</v>
      </c>
      <c r="N215" t="b">
        <v>1</v>
      </c>
      <c r="O215" t="b">
        <v>0</v>
      </c>
      <c r="P215">
        <v>130595</v>
      </c>
    </row>
    <row r="216" spans="1:16" x14ac:dyDescent="0.3">
      <c r="A216" t="s">
        <v>432</v>
      </c>
      <c r="B216" t="s">
        <v>433</v>
      </c>
      <c r="C216" t="s">
        <v>18</v>
      </c>
      <c r="D216" t="s">
        <v>19</v>
      </c>
      <c r="E216" t="s">
        <v>20</v>
      </c>
      <c r="F216">
        <v>756</v>
      </c>
      <c r="G216">
        <v>131351</v>
      </c>
      <c r="H216">
        <v>2022</v>
      </c>
      <c r="I216">
        <v>6</v>
      </c>
      <c r="J216" t="s">
        <v>371</v>
      </c>
      <c r="K216">
        <v>2</v>
      </c>
      <c r="L216" t="s">
        <v>31</v>
      </c>
      <c r="M216">
        <v>1</v>
      </c>
      <c r="N216" t="b">
        <v>1</v>
      </c>
      <c r="O216" t="b">
        <v>0</v>
      </c>
      <c r="P216">
        <v>131351</v>
      </c>
    </row>
    <row r="217" spans="1:16" x14ac:dyDescent="0.3">
      <c r="A217" t="s">
        <v>434</v>
      </c>
      <c r="B217" t="s">
        <v>435</v>
      </c>
      <c r="C217" t="s">
        <v>18</v>
      </c>
      <c r="D217" t="s">
        <v>19</v>
      </c>
      <c r="E217" t="s">
        <v>20</v>
      </c>
      <c r="F217">
        <v>409</v>
      </c>
      <c r="G217">
        <v>131760</v>
      </c>
      <c r="H217">
        <v>2022</v>
      </c>
      <c r="I217">
        <v>6</v>
      </c>
      <c r="J217" t="s">
        <v>371</v>
      </c>
      <c r="K217">
        <v>2</v>
      </c>
      <c r="L217" t="s">
        <v>38</v>
      </c>
      <c r="M217">
        <v>2</v>
      </c>
      <c r="N217" t="b">
        <v>1</v>
      </c>
      <c r="O217" t="b">
        <v>0</v>
      </c>
      <c r="P217">
        <v>131760</v>
      </c>
    </row>
    <row r="218" spans="1:16" x14ac:dyDescent="0.3">
      <c r="A218" t="s">
        <v>436</v>
      </c>
      <c r="B218" t="s">
        <v>437</v>
      </c>
      <c r="C218" t="s">
        <v>18</v>
      </c>
      <c r="D218" t="s">
        <v>19</v>
      </c>
      <c r="E218" t="s">
        <v>20</v>
      </c>
      <c r="F218">
        <v>499</v>
      </c>
      <c r="G218">
        <v>132259</v>
      </c>
      <c r="H218">
        <v>2022</v>
      </c>
      <c r="I218">
        <v>6</v>
      </c>
      <c r="J218" t="s">
        <v>371</v>
      </c>
      <c r="K218">
        <v>2</v>
      </c>
      <c r="L218" t="s">
        <v>41</v>
      </c>
      <c r="M218">
        <v>3</v>
      </c>
      <c r="N218" t="b">
        <v>1</v>
      </c>
      <c r="O218" t="b">
        <v>0</v>
      </c>
      <c r="P218">
        <v>132259</v>
      </c>
    </row>
    <row r="219" spans="1:16" x14ac:dyDescent="0.3">
      <c r="A219" t="s">
        <v>436</v>
      </c>
      <c r="B219" t="s">
        <v>438</v>
      </c>
      <c r="C219" t="s">
        <v>88</v>
      </c>
      <c r="D219" t="s">
        <v>56</v>
      </c>
      <c r="E219" t="s">
        <v>35</v>
      </c>
      <c r="F219">
        <v>322</v>
      </c>
      <c r="G219">
        <v>131937</v>
      </c>
      <c r="H219">
        <v>2022</v>
      </c>
      <c r="I219">
        <v>6</v>
      </c>
      <c r="J219" t="s">
        <v>371</v>
      </c>
      <c r="K219">
        <v>2</v>
      </c>
      <c r="L219" t="s">
        <v>41</v>
      </c>
      <c r="M219">
        <v>3</v>
      </c>
      <c r="N219" t="b">
        <v>0</v>
      </c>
      <c r="O219" t="b">
        <v>1</v>
      </c>
      <c r="P219">
        <v>131937</v>
      </c>
    </row>
    <row r="220" spans="1:16" x14ac:dyDescent="0.3">
      <c r="A220" t="s">
        <v>439</v>
      </c>
      <c r="B220" t="s">
        <v>440</v>
      </c>
      <c r="C220" t="s">
        <v>18</v>
      </c>
      <c r="D220" t="s">
        <v>19</v>
      </c>
      <c r="E220" t="s">
        <v>20</v>
      </c>
      <c r="F220">
        <v>749</v>
      </c>
      <c r="G220">
        <v>132686</v>
      </c>
      <c r="H220">
        <v>2022</v>
      </c>
      <c r="I220">
        <v>7</v>
      </c>
      <c r="J220" t="s">
        <v>441</v>
      </c>
      <c r="K220">
        <v>3</v>
      </c>
      <c r="L220" t="s">
        <v>44</v>
      </c>
      <c r="M220">
        <v>4</v>
      </c>
      <c r="N220" t="b">
        <v>1</v>
      </c>
      <c r="O220" t="b">
        <v>0</v>
      </c>
      <c r="P220">
        <v>132686</v>
      </c>
    </row>
    <row r="221" spans="1:16" x14ac:dyDescent="0.3">
      <c r="A221" t="s">
        <v>442</v>
      </c>
      <c r="B221" t="s">
        <v>443</v>
      </c>
      <c r="C221" t="s">
        <v>18</v>
      </c>
      <c r="D221" t="s">
        <v>19</v>
      </c>
      <c r="E221" t="s">
        <v>20</v>
      </c>
      <c r="F221">
        <v>595</v>
      </c>
      <c r="G221">
        <v>133281</v>
      </c>
      <c r="H221">
        <v>2022</v>
      </c>
      <c r="I221">
        <v>7</v>
      </c>
      <c r="J221" t="s">
        <v>441</v>
      </c>
      <c r="K221">
        <v>3</v>
      </c>
      <c r="L221" t="s">
        <v>22</v>
      </c>
      <c r="M221">
        <v>5</v>
      </c>
      <c r="N221" t="b">
        <v>1</v>
      </c>
      <c r="O221" t="b">
        <v>0</v>
      </c>
      <c r="P221">
        <v>133281</v>
      </c>
    </row>
    <row r="222" spans="1:16" x14ac:dyDescent="0.3">
      <c r="A222" t="s">
        <v>444</v>
      </c>
      <c r="B222" t="s">
        <v>445</v>
      </c>
      <c r="C222" t="s">
        <v>18</v>
      </c>
      <c r="D222" t="s">
        <v>19</v>
      </c>
      <c r="E222" t="s">
        <v>20</v>
      </c>
      <c r="F222">
        <v>824</v>
      </c>
      <c r="G222">
        <v>134105</v>
      </c>
      <c r="H222">
        <v>2022</v>
      </c>
      <c r="I222">
        <v>7</v>
      </c>
      <c r="J222" t="s">
        <v>441</v>
      </c>
      <c r="K222">
        <v>3</v>
      </c>
      <c r="L222" t="s">
        <v>25</v>
      </c>
      <c r="M222">
        <v>6</v>
      </c>
      <c r="N222" t="b">
        <v>1</v>
      </c>
      <c r="O222" t="b">
        <v>0</v>
      </c>
      <c r="P222">
        <v>134105</v>
      </c>
    </row>
    <row r="223" spans="1:16" x14ac:dyDescent="0.3">
      <c r="A223" t="s">
        <v>446</v>
      </c>
      <c r="B223" t="s">
        <v>447</v>
      </c>
      <c r="C223" t="s">
        <v>18</v>
      </c>
      <c r="D223" t="s">
        <v>19</v>
      </c>
      <c r="E223" t="s">
        <v>20</v>
      </c>
      <c r="F223">
        <v>515</v>
      </c>
      <c r="G223">
        <v>134620</v>
      </c>
      <c r="H223">
        <v>2022</v>
      </c>
      <c r="I223">
        <v>7</v>
      </c>
      <c r="J223" t="s">
        <v>441</v>
      </c>
      <c r="K223">
        <v>3</v>
      </c>
      <c r="L223" t="s">
        <v>28</v>
      </c>
      <c r="M223">
        <v>0</v>
      </c>
      <c r="N223" t="b">
        <v>1</v>
      </c>
      <c r="O223" t="b">
        <v>0</v>
      </c>
      <c r="P223">
        <v>134620</v>
      </c>
    </row>
    <row r="224" spans="1:16" x14ac:dyDescent="0.3">
      <c r="A224" t="s">
        <v>446</v>
      </c>
      <c r="B224" t="s">
        <v>448</v>
      </c>
      <c r="C224" t="s">
        <v>88</v>
      </c>
      <c r="D224" t="s">
        <v>56</v>
      </c>
      <c r="E224" t="s">
        <v>35</v>
      </c>
      <c r="F224">
        <v>346</v>
      </c>
      <c r="G224">
        <v>134274</v>
      </c>
      <c r="H224">
        <v>2022</v>
      </c>
      <c r="I224">
        <v>7</v>
      </c>
      <c r="J224" t="s">
        <v>441</v>
      </c>
      <c r="K224">
        <v>3</v>
      </c>
      <c r="L224" t="s">
        <v>28</v>
      </c>
      <c r="M224">
        <v>0</v>
      </c>
      <c r="N224" t="b">
        <v>0</v>
      </c>
      <c r="O224" t="b">
        <v>1</v>
      </c>
      <c r="P224">
        <v>134274</v>
      </c>
    </row>
    <row r="225" spans="1:16" x14ac:dyDescent="0.3">
      <c r="A225" t="s">
        <v>449</v>
      </c>
      <c r="B225" t="s">
        <v>450</v>
      </c>
      <c r="C225" t="s">
        <v>18</v>
      </c>
      <c r="D225" t="s">
        <v>19</v>
      </c>
      <c r="E225" t="s">
        <v>20</v>
      </c>
      <c r="F225">
        <v>996</v>
      </c>
      <c r="G225">
        <v>135270</v>
      </c>
      <c r="H225">
        <v>2022</v>
      </c>
      <c r="I225">
        <v>7</v>
      </c>
      <c r="J225" t="s">
        <v>441</v>
      </c>
      <c r="K225">
        <v>3</v>
      </c>
      <c r="L225" t="s">
        <v>31</v>
      </c>
      <c r="M225">
        <v>1</v>
      </c>
      <c r="N225" t="b">
        <v>1</v>
      </c>
      <c r="O225" t="b">
        <v>0</v>
      </c>
      <c r="P225">
        <v>135270</v>
      </c>
    </row>
    <row r="226" spans="1:16" x14ac:dyDescent="0.3">
      <c r="A226" t="s">
        <v>451</v>
      </c>
      <c r="B226" t="s">
        <v>452</v>
      </c>
      <c r="C226" t="s">
        <v>18</v>
      </c>
      <c r="D226" t="s">
        <v>19</v>
      </c>
      <c r="E226" t="s">
        <v>20</v>
      </c>
      <c r="F226">
        <v>659</v>
      </c>
      <c r="G226">
        <v>135929</v>
      </c>
      <c r="H226">
        <v>2022</v>
      </c>
      <c r="I226">
        <v>7</v>
      </c>
      <c r="J226" t="s">
        <v>441</v>
      </c>
      <c r="K226">
        <v>3</v>
      </c>
      <c r="L226" t="s">
        <v>38</v>
      </c>
      <c r="M226">
        <v>2</v>
      </c>
      <c r="N226" t="b">
        <v>1</v>
      </c>
      <c r="O226" t="b">
        <v>0</v>
      </c>
      <c r="P226">
        <v>135929</v>
      </c>
    </row>
    <row r="227" spans="1:16" x14ac:dyDescent="0.3">
      <c r="A227" t="s">
        <v>453</v>
      </c>
      <c r="B227" t="s">
        <v>454</v>
      </c>
      <c r="C227" t="s">
        <v>18</v>
      </c>
      <c r="D227" t="s">
        <v>19</v>
      </c>
      <c r="E227" t="s">
        <v>20</v>
      </c>
      <c r="F227">
        <v>651</v>
      </c>
      <c r="G227">
        <v>136580</v>
      </c>
      <c r="H227">
        <v>2022</v>
      </c>
      <c r="I227">
        <v>7</v>
      </c>
      <c r="J227" t="s">
        <v>441</v>
      </c>
      <c r="K227">
        <v>3</v>
      </c>
      <c r="L227" t="s">
        <v>41</v>
      </c>
      <c r="M227">
        <v>3</v>
      </c>
      <c r="N227" t="b">
        <v>1</v>
      </c>
      <c r="O227" t="b">
        <v>0</v>
      </c>
      <c r="P227">
        <v>136580</v>
      </c>
    </row>
    <row r="228" spans="1:16" x14ac:dyDescent="0.3">
      <c r="A228" t="s">
        <v>455</v>
      </c>
      <c r="B228" t="s">
        <v>456</v>
      </c>
      <c r="C228" t="s">
        <v>18</v>
      </c>
      <c r="D228" t="s">
        <v>19</v>
      </c>
      <c r="E228" t="s">
        <v>20</v>
      </c>
      <c r="F228">
        <v>662</v>
      </c>
      <c r="G228">
        <v>137242</v>
      </c>
      <c r="H228">
        <v>2022</v>
      </c>
      <c r="I228">
        <v>7</v>
      </c>
      <c r="J228" t="s">
        <v>441</v>
      </c>
      <c r="K228">
        <v>3</v>
      </c>
      <c r="L228" t="s">
        <v>44</v>
      </c>
      <c r="M228">
        <v>4</v>
      </c>
      <c r="N228" t="b">
        <v>1</v>
      </c>
      <c r="O228" t="b">
        <v>0</v>
      </c>
      <c r="P228">
        <v>137242</v>
      </c>
    </row>
    <row r="229" spans="1:16" x14ac:dyDescent="0.3">
      <c r="A229" t="s">
        <v>457</v>
      </c>
      <c r="B229" t="s">
        <v>458</v>
      </c>
      <c r="C229" t="s">
        <v>18</v>
      </c>
      <c r="D229" t="s">
        <v>19</v>
      </c>
      <c r="E229" t="s">
        <v>20</v>
      </c>
      <c r="F229">
        <v>916</v>
      </c>
      <c r="G229">
        <v>138158</v>
      </c>
      <c r="H229">
        <v>2022</v>
      </c>
      <c r="I229">
        <v>7</v>
      </c>
      <c r="J229" t="s">
        <v>441</v>
      </c>
      <c r="K229">
        <v>3</v>
      </c>
      <c r="L229" t="s">
        <v>22</v>
      </c>
      <c r="M229">
        <v>5</v>
      </c>
      <c r="N229" t="b">
        <v>1</v>
      </c>
      <c r="O229" t="b">
        <v>0</v>
      </c>
      <c r="P229">
        <v>138158</v>
      </c>
    </row>
    <row r="230" spans="1:16" x14ac:dyDescent="0.3">
      <c r="A230" t="s">
        <v>459</v>
      </c>
      <c r="B230" t="s">
        <v>460</v>
      </c>
      <c r="C230" t="s">
        <v>18</v>
      </c>
      <c r="D230" t="s">
        <v>19</v>
      </c>
      <c r="E230" t="s">
        <v>20</v>
      </c>
      <c r="F230">
        <v>926</v>
      </c>
      <c r="G230">
        <v>139084</v>
      </c>
      <c r="H230">
        <v>2022</v>
      </c>
      <c r="I230">
        <v>7</v>
      </c>
      <c r="J230" t="s">
        <v>441</v>
      </c>
      <c r="K230">
        <v>3</v>
      </c>
      <c r="L230" t="s">
        <v>25</v>
      </c>
      <c r="M230">
        <v>6</v>
      </c>
      <c r="N230" t="b">
        <v>1</v>
      </c>
      <c r="O230" t="b">
        <v>0</v>
      </c>
      <c r="P230">
        <v>139084</v>
      </c>
    </row>
    <row r="231" spans="1:16" x14ac:dyDescent="0.3">
      <c r="A231" t="s">
        <v>461</v>
      </c>
      <c r="B231" t="s">
        <v>462</v>
      </c>
      <c r="C231" t="s">
        <v>18</v>
      </c>
      <c r="D231" t="s">
        <v>19</v>
      </c>
      <c r="E231" t="s">
        <v>20</v>
      </c>
      <c r="F231">
        <v>822</v>
      </c>
      <c r="G231">
        <v>139906</v>
      </c>
      <c r="H231">
        <v>2022</v>
      </c>
      <c r="I231">
        <v>7</v>
      </c>
      <c r="J231" t="s">
        <v>441</v>
      </c>
      <c r="K231">
        <v>3</v>
      </c>
      <c r="L231" t="s">
        <v>28</v>
      </c>
      <c r="M231">
        <v>0</v>
      </c>
      <c r="N231" t="b">
        <v>1</v>
      </c>
      <c r="O231" t="b">
        <v>0</v>
      </c>
      <c r="P231">
        <v>139906</v>
      </c>
    </row>
    <row r="232" spans="1:16" x14ac:dyDescent="0.3">
      <c r="A232" t="s">
        <v>463</v>
      </c>
      <c r="B232" t="s">
        <v>464</v>
      </c>
      <c r="C232" t="s">
        <v>18</v>
      </c>
      <c r="D232" t="s">
        <v>19</v>
      </c>
      <c r="E232" t="s">
        <v>20</v>
      </c>
      <c r="F232">
        <v>667</v>
      </c>
      <c r="G232">
        <v>140573</v>
      </c>
      <c r="H232">
        <v>2022</v>
      </c>
      <c r="I232">
        <v>7</v>
      </c>
      <c r="J232" t="s">
        <v>441</v>
      </c>
      <c r="K232">
        <v>3</v>
      </c>
      <c r="L232" t="s">
        <v>31</v>
      </c>
      <c r="M232">
        <v>1</v>
      </c>
      <c r="N232" t="b">
        <v>1</v>
      </c>
      <c r="O232" t="b">
        <v>0</v>
      </c>
      <c r="P232">
        <v>140573</v>
      </c>
    </row>
    <row r="233" spans="1:16" x14ac:dyDescent="0.3">
      <c r="A233" t="s">
        <v>465</v>
      </c>
      <c r="B233" t="s">
        <v>466</v>
      </c>
      <c r="C233" t="s">
        <v>18</v>
      </c>
      <c r="D233" t="s">
        <v>19</v>
      </c>
      <c r="E233" t="s">
        <v>20</v>
      </c>
      <c r="F233">
        <v>543</v>
      </c>
      <c r="G233">
        <v>141116</v>
      </c>
      <c r="H233">
        <v>2022</v>
      </c>
      <c r="I233">
        <v>7</v>
      </c>
      <c r="J233" t="s">
        <v>441</v>
      </c>
      <c r="K233">
        <v>3</v>
      </c>
      <c r="L233" t="s">
        <v>38</v>
      </c>
      <c r="M233">
        <v>2</v>
      </c>
      <c r="N233" t="b">
        <v>1</v>
      </c>
      <c r="O233" t="b">
        <v>0</v>
      </c>
      <c r="P233">
        <v>141116</v>
      </c>
    </row>
    <row r="234" spans="1:16" x14ac:dyDescent="0.3">
      <c r="A234" t="s">
        <v>467</v>
      </c>
      <c r="B234" t="s">
        <v>468</v>
      </c>
      <c r="C234" t="s">
        <v>18</v>
      </c>
      <c r="D234" t="s">
        <v>19</v>
      </c>
      <c r="E234" t="s">
        <v>20</v>
      </c>
      <c r="F234">
        <v>511</v>
      </c>
      <c r="G234">
        <v>141627</v>
      </c>
      <c r="H234">
        <v>2022</v>
      </c>
      <c r="I234">
        <v>7</v>
      </c>
      <c r="J234" t="s">
        <v>441</v>
      </c>
      <c r="K234">
        <v>3</v>
      </c>
      <c r="L234" t="s">
        <v>41</v>
      </c>
      <c r="M234">
        <v>3</v>
      </c>
      <c r="N234" t="b">
        <v>1</v>
      </c>
      <c r="O234" t="b">
        <v>0</v>
      </c>
      <c r="P234">
        <v>141627</v>
      </c>
    </row>
    <row r="235" spans="1:16" x14ac:dyDescent="0.3">
      <c r="A235" t="s">
        <v>467</v>
      </c>
      <c r="B235" t="s">
        <v>469</v>
      </c>
      <c r="C235" t="s">
        <v>137</v>
      </c>
      <c r="D235" t="s">
        <v>34</v>
      </c>
      <c r="E235" t="s">
        <v>35</v>
      </c>
      <c r="F235">
        <v>485</v>
      </c>
      <c r="G235">
        <v>141142</v>
      </c>
      <c r="H235">
        <v>2022</v>
      </c>
      <c r="I235">
        <v>7</v>
      </c>
      <c r="J235" t="s">
        <v>441</v>
      </c>
      <c r="K235">
        <v>3</v>
      </c>
      <c r="L235" t="s">
        <v>41</v>
      </c>
      <c r="M235">
        <v>3</v>
      </c>
      <c r="N235" t="b">
        <v>0</v>
      </c>
      <c r="O235" t="b">
        <v>1</v>
      </c>
      <c r="P235">
        <v>141142</v>
      </c>
    </row>
    <row r="236" spans="1:16" x14ac:dyDescent="0.3">
      <c r="A236" t="s">
        <v>470</v>
      </c>
      <c r="B236" t="s">
        <v>471</v>
      </c>
      <c r="C236" t="s">
        <v>18</v>
      </c>
      <c r="D236" t="s">
        <v>19</v>
      </c>
      <c r="E236" t="s">
        <v>20</v>
      </c>
      <c r="F236">
        <v>998</v>
      </c>
      <c r="G236">
        <v>142140</v>
      </c>
      <c r="H236">
        <v>2022</v>
      </c>
      <c r="I236">
        <v>7</v>
      </c>
      <c r="J236" t="s">
        <v>441</v>
      </c>
      <c r="K236">
        <v>3</v>
      </c>
      <c r="L236" t="s">
        <v>44</v>
      </c>
      <c r="M236">
        <v>4</v>
      </c>
      <c r="N236" t="b">
        <v>1</v>
      </c>
      <c r="O236" t="b">
        <v>0</v>
      </c>
      <c r="P236">
        <v>142140</v>
      </c>
    </row>
    <row r="237" spans="1:16" x14ac:dyDescent="0.3">
      <c r="A237" t="s">
        <v>472</v>
      </c>
      <c r="B237" t="s">
        <v>473</v>
      </c>
      <c r="C237" t="s">
        <v>18</v>
      </c>
      <c r="D237" t="s">
        <v>19</v>
      </c>
      <c r="E237" t="s">
        <v>20</v>
      </c>
      <c r="F237">
        <v>714</v>
      </c>
      <c r="G237">
        <v>142854</v>
      </c>
      <c r="H237">
        <v>2022</v>
      </c>
      <c r="I237">
        <v>7</v>
      </c>
      <c r="J237" t="s">
        <v>441</v>
      </c>
      <c r="K237">
        <v>3</v>
      </c>
      <c r="L237" t="s">
        <v>22</v>
      </c>
      <c r="M237">
        <v>5</v>
      </c>
      <c r="N237" t="b">
        <v>1</v>
      </c>
      <c r="O237" t="b">
        <v>0</v>
      </c>
      <c r="P237">
        <v>142854</v>
      </c>
    </row>
    <row r="238" spans="1:16" x14ac:dyDescent="0.3">
      <c r="A238" t="s">
        <v>472</v>
      </c>
      <c r="B238" t="s">
        <v>474</v>
      </c>
      <c r="C238" t="s">
        <v>137</v>
      </c>
      <c r="D238" t="s">
        <v>34</v>
      </c>
      <c r="E238" t="s">
        <v>35</v>
      </c>
      <c r="F238">
        <v>363</v>
      </c>
      <c r="G238">
        <v>142491</v>
      </c>
      <c r="H238">
        <v>2022</v>
      </c>
      <c r="I238">
        <v>7</v>
      </c>
      <c r="J238" t="s">
        <v>441</v>
      </c>
      <c r="K238">
        <v>3</v>
      </c>
      <c r="L238" t="s">
        <v>22</v>
      </c>
      <c r="M238">
        <v>5</v>
      </c>
      <c r="N238" t="b">
        <v>0</v>
      </c>
      <c r="O238" t="b">
        <v>1</v>
      </c>
      <c r="P238">
        <v>142491</v>
      </c>
    </row>
    <row r="239" spans="1:16" x14ac:dyDescent="0.3">
      <c r="A239" t="s">
        <v>475</v>
      </c>
      <c r="B239" t="s">
        <v>476</v>
      </c>
      <c r="C239" t="s">
        <v>18</v>
      </c>
      <c r="D239" t="s">
        <v>19</v>
      </c>
      <c r="E239" t="s">
        <v>20</v>
      </c>
      <c r="F239">
        <v>909</v>
      </c>
      <c r="G239">
        <v>143400</v>
      </c>
      <c r="H239">
        <v>2022</v>
      </c>
      <c r="I239">
        <v>7</v>
      </c>
      <c r="J239" t="s">
        <v>441</v>
      </c>
      <c r="K239">
        <v>3</v>
      </c>
      <c r="L239" t="s">
        <v>25</v>
      </c>
      <c r="M239">
        <v>6</v>
      </c>
      <c r="N239" t="b">
        <v>1</v>
      </c>
      <c r="O239" t="b">
        <v>0</v>
      </c>
      <c r="P239">
        <v>143400</v>
      </c>
    </row>
    <row r="240" spans="1:16" x14ac:dyDescent="0.3">
      <c r="A240" t="s">
        <v>477</v>
      </c>
      <c r="B240" t="s">
        <v>478</v>
      </c>
      <c r="C240" t="s">
        <v>18</v>
      </c>
      <c r="D240" t="s">
        <v>19</v>
      </c>
      <c r="E240" t="s">
        <v>20</v>
      </c>
      <c r="F240">
        <v>917</v>
      </c>
      <c r="G240">
        <v>144317</v>
      </c>
      <c r="H240">
        <v>2022</v>
      </c>
      <c r="I240">
        <v>7</v>
      </c>
      <c r="J240" t="s">
        <v>441</v>
      </c>
      <c r="K240">
        <v>3</v>
      </c>
      <c r="L240" t="s">
        <v>28</v>
      </c>
      <c r="M240">
        <v>0</v>
      </c>
      <c r="N240" t="b">
        <v>1</v>
      </c>
      <c r="O240" t="b">
        <v>0</v>
      </c>
      <c r="P240">
        <v>144317</v>
      </c>
    </row>
    <row r="241" spans="1:16" x14ac:dyDescent="0.3">
      <c r="A241" t="s">
        <v>479</v>
      </c>
      <c r="B241" t="s">
        <v>480</v>
      </c>
      <c r="C241" t="s">
        <v>18</v>
      </c>
      <c r="D241" t="s">
        <v>19</v>
      </c>
      <c r="E241" t="s">
        <v>20</v>
      </c>
      <c r="F241">
        <v>890</v>
      </c>
      <c r="G241">
        <v>145207</v>
      </c>
      <c r="H241">
        <v>2022</v>
      </c>
      <c r="I241">
        <v>7</v>
      </c>
      <c r="J241" t="s">
        <v>441</v>
      </c>
      <c r="K241">
        <v>3</v>
      </c>
      <c r="L241" t="s">
        <v>31</v>
      </c>
      <c r="M241">
        <v>1</v>
      </c>
      <c r="N241" t="b">
        <v>1</v>
      </c>
      <c r="O241" t="b">
        <v>0</v>
      </c>
      <c r="P241">
        <v>145207</v>
      </c>
    </row>
    <row r="242" spans="1:16" x14ac:dyDescent="0.3">
      <c r="A242" t="s">
        <v>479</v>
      </c>
      <c r="B242" t="s">
        <v>481</v>
      </c>
      <c r="C242" t="s">
        <v>137</v>
      </c>
      <c r="D242" t="s">
        <v>34</v>
      </c>
      <c r="E242" t="s">
        <v>35</v>
      </c>
      <c r="F242">
        <v>213</v>
      </c>
      <c r="G242">
        <v>144994</v>
      </c>
      <c r="H242">
        <v>2022</v>
      </c>
      <c r="I242">
        <v>7</v>
      </c>
      <c r="J242" t="s">
        <v>441</v>
      </c>
      <c r="K242">
        <v>3</v>
      </c>
      <c r="L242" t="s">
        <v>31</v>
      </c>
      <c r="M242">
        <v>1</v>
      </c>
      <c r="N242" t="b">
        <v>0</v>
      </c>
      <c r="O242" t="b">
        <v>1</v>
      </c>
      <c r="P242">
        <v>144994</v>
      </c>
    </row>
    <row r="243" spans="1:16" x14ac:dyDescent="0.3">
      <c r="A243" t="s">
        <v>482</v>
      </c>
      <c r="B243" t="s">
        <v>483</v>
      </c>
      <c r="C243" t="s">
        <v>18</v>
      </c>
      <c r="D243" t="s">
        <v>19</v>
      </c>
      <c r="E243" t="s">
        <v>20</v>
      </c>
      <c r="F243">
        <v>574</v>
      </c>
      <c r="G243">
        <v>145568</v>
      </c>
      <c r="H243">
        <v>2022</v>
      </c>
      <c r="I243">
        <v>7</v>
      </c>
      <c r="J243" t="s">
        <v>441</v>
      </c>
      <c r="K243">
        <v>3</v>
      </c>
      <c r="L243" t="s">
        <v>38</v>
      </c>
      <c r="M243">
        <v>2</v>
      </c>
      <c r="N243" t="b">
        <v>1</v>
      </c>
      <c r="O243" t="b">
        <v>0</v>
      </c>
      <c r="P243">
        <v>145568</v>
      </c>
    </row>
    <row r="244" spans="1:16" x14ac:dyDescent="0.3">
      <c r="A244" t="s">
        <v>484</v>
      </c>
      <c r="B244" t="s">
        <v>485</v>
      </c>
      <c r="C244" t="s">
        <v>18</v>
      </c>
      <c r="D244" t="s">
        <v>19</v>
      </c>
      <c r="E244" t="s">
        <v>20</v>
      </c>
      <c r="F244">
        <v>919</v>
      </c>
      <c r="G244">
        <v>146487</v>
      </c>
      <c r="H244">
        <v>2022</v>
      </c>
      <c r="I244">
        <v>7</v>
      </c>
      <c r="J244" t="s">
        <v>441</v>
      </c>
      <c r="K244">
        <v>3</v>
      </c>
      <c r="L244" t="s">
        <v>41</v>
      </c>
      <c r="M244">
        <v>3</v>
      </c>
      <c r="N244" t="b">
        <v>1</v>
      </c>
      <c r="O244" t="b">
        <v>0</v>
      </c>
      <c r="P244">
        <v>146487</v>
      </c>
    </row>
    <row r="245" spans="1:16" x14ac:dyDescent="0.3">
      <c r="A245" t="s">
        <v>486</v>
      </c>
      <c r="B245" t="s">
        <v>487</v>
      </c>
      <c r="C245" t="s">
        <v>18</v>
      </c>
      <c r="D245" t="s">
        <v>19</v>
      </c>
      <c r="E245" t="s">
        <v>20</v>
      </c>
      <c r="F245">
        <v>748</v>
      </c>
      <c r="G245">
        <v>147235</v>
      </c>
      <c r="H245">
        <v>2022</v>
      </c>
      <c r="I245">
        <v>7</v>
      </c>
      <c r="J245" t="s">
        <v>441</v>
      </c>
      <c r="K245">
        <v>3</v>
      </c>
      <c r="L245" t="s">
        <v>44</v>
      </c>
      <c r="M245">
        <v>4</v>
      </c>
      <c r="N245" t="b">
        <v>1</v>
      </c>
      <c r="O245" t="b">
        <v>0</v>
      </c>
      <c r="P245">
        <v>147235</v>
      </c>
    </row>
    <row r="246" spans="1:16" x14ac:dyDescent="0.3">
      <c r="A246" t="s">
        <v>488</v>
      </c>
      <c r="B246" t="s">
        <v>489</v>
      </c>
      <c r="C246" t="s">
        <v>18</v>
      </c>
      <c r="D246" t="s">
        <v>19</v>
      </c>
      <c r="E246" t="s">
        <v>20</v>
      </c>
      <c r="F246">
        <v>856</v>
      </c>
      <c r="G246">
        <v>148091</v>
      </c>
      <c r="H246">
        <v>2022</v>
      </c>
      <c r="I246">
        <v>7</v>
      </c>
      <c r="J246" t="s">
        <v>441</v>
      </c>
      <c r="K246">
        <v>3</v>
      </c>
      <c r="L246" t="s">
        <v>22</v>
      </c>
      <c r="M246">
        <v>5</v>
      </c>
      <c r="N246" t="b">
        <v>1</v>
      </c>
      <c r="O246" t="b">
        <v>0</v>
      </c>
      <c r="P246">
        <v>148091</v>
      </c>
    </row>
    <row r="247" spans="1:16" x14ac:dyDescent="0.3">
      <c r="A247" t="s">
        <v>490</v>
      </c>
      <c r="B247" t="s">
        <v>491</v>
      </c>
      <c r="C247" t="s">
        <v>18</v>
      </c>
      <c r="D247" t="s">
        <v>19</v>
      </c>
      <c r="E247" t="s">
        <v>20</v>
      </c>
      <c r="F247">
        <v>691</v>
      </c>
      <c r="G247">
        <v>148782</v>
      </c>
      <c r="H247">
        <v>2022</v>
      </c>
      <c r="I247">
        <v>7</v>
      </c>
      <c r="J247" t="s">
        <v>441</v>
      </c>
      <c r="K247">
        <v>3</v>
      </c>
      <c r="L247" t="s">
        <v>25</v>
      </c>
      <c r="M247">
        <v>6</v>
      </c>
      <c r="N247" t="b">
        <v>1</v>
      </c>
      <c r="O247" t="b">
        <v>0</v>
      </c>
      <c r="P247">
        <v>148782</v>
      </c>
    </row>
    <row r="248" spans="1:16" x14ac:dyDescent="0.3">
      <c r="A248" t="s">
        <v>492</v>
      </c>
      <c r="B248" t="s">
        <v>493</v>
      </c>
      <c r="C248" t="s">
        <v>18</v>
      </c>
      <c r="D248" t="s">
        <v>19</v>
      </c>
      <c r="E248" t="s">
        <v>20</v>
      </c>
      <c r="F248">
        <v>598</v>
      </c>
      <c r="G248">
        <v>149380</v>
      </c>
      <c r="H248">
        <v>2022</v>
      </c>
      <c r="I248">
        <v>7</v>
      </c>
      <c r="J248" t="s">
        <v>441</v>
      </c>
      <c r="K248">
        <v>3</v>
      </c>
      <c r="L248" t="s">
        <v>28</v>
      </c>
      <c r="M248">
        <v>0</v>
      </c>
      <c r="N248" t="b">
        <v>1</v>
      </c>
      <c r="O248" t="b">
        <v>0</v>
      </c>
      <c r="P248">
        <v>149380</v>
      </c>
    </row>
    <row r="249" spans="1:16" x14ac:dyDescent="0.3">
      <c r="A249" t="s">
        <v>494</v>
      </c>
      <c r="B249" t="s">
        <v>495</v>
      </c>
      <c r="C249" t="s">
        <v>18</v>
      </c>
      <c r="D249" t="s">
        <v>19</v>
      </c>
      <c r="E249" t="s">
        <v>20</v>
      </c>
      <c r="F249">
        <v>965</v>
      </c>
      <c r="G249">
        <v>150345</v>
      </c>
      <c r="H249">
        <v>2022</v>
      </c>
      <c r="I249">
        <v>7</v>
      </c>
      <c r="J249" t="s">
        <v>441</v>
      </c>
      <c r="K249">
        <v>3</v>
      </c>
      <c r="L249" t="s">
        <v>31</v>
      </c>
      <c r="M249">
        <v>1</v>
      </c>
      <c r="N249" t="b">
        <v>1</v>
      </c>
      <c r="O249" t="b">
        <v>0</v>
      </c>
      <c r="P249">
        <v>150345</v>
      </c>
    </row>
    <row r="250" spans="1:16" x14ac:dyDescent="0.3">
      <c r="A250" t="s">
        <v>496</v>
      </c>
      <c r="B250" t="s">
        <v>497</v>
      </c>
      <c r="C250" t="s">
        <v>18</v>
      </c>
      <c r="D250" t="s">
        <v>19</v>
      </c>
      <c r="E250" t="s">
        <v>20</v>
      </c>
      <c r="F250">
        <v>595</v>
      </c>
      <c r="G250">
        <v>150940</v>
      </c>
      <c r="H250">
        <v>2022</v>
      </c>
      <c r="I250">
        <v>7</v>
      </c>
      <c r="J250" t="s">
        <v>441</v>
      </c>
      <c r="K250">
        <v>3</v>
      </c>
      <c r="L250" t="s">
        <v>38</v>
      </c>
      <c r="M250">
        <v>2</v>
      </c>
      <c r="N250" t="b">
        <v>1</v>
      </c>
      <c r="O250" t="b">
        <v>0</v>
      </c>
      <c r="P250">
        <v>150940</v>
      </c>
    </row>
    <row r="251" spans="1:16" x14ac:dyDescent="0.3">
      <c r="A251" t="s">
        <v>498</v>
      </c>
      <c r="B251" t="s">
        <v>499</v>
      </c>
      <c r="C251" t="s">
        <v>18</v>
      </c>
      <c r="D251" t="s">
        <v>19</v>
      </c>
      <c r="E251" t="s">
        <v>20</v>
      </c>
      <c r="F251">
        <v>689</v>
      </c>
      <c r="G251">
        <v>151629</v>
      </c>
      <c r="H251">
        <v>2022</v>
      </c>
      <c r="I251">
        <v>7</v>
      </c>
      <c r="J251" t="s">
        <v>441</v>
      </c>
      <c r="K251">
        <v>3</v>
      </c>
      <c r="L251" t="s">
        <v>41</v>
      </c>
      <c r="M251">
        <v>3</v>
      </c>
      <c r="N251" t="b">
        <v>1</v>
      </c>
      <c r="O251" t="b">
        <v>0</v>
      </c>
      <c r="P251">
        <v>151629</v>
      </c>
    </row>
    <row r="252" spans="1:16" x14ac:dyDescent="0.3">
      <c r="A252" t="s">
        <v>500</v>
      </c>
      <c r="B252" t="s">
        <v>501</v>
      </c>
      <c r="C252" t="s">
        <v>18</v>
      </c>
      <c r="D252" t="s">
        <v>19</v>
      </c>
      <c r="E252" t="s">
        <v>20</v>
      </c>
      <c r="F252">
        <v>767</v>
      </c>
      <c r="G252">
        <v>152396</v>
      </c>
      <c r="H252">
        <v>2022</v>
      </c>
      <c r="I252">
        <v>7</v>
      </c>
      <c r="J252" t="s">
        <v>441</v>
      </c>
      <c r="K252">
        <v>3</v>
      </c>
      <c r="L252" t="s">
        <v>44</v>
      </c>
      <c r="M252">
        <v>4</v>
      </c>
      <c r="N252" t="b">
        <v>1</v>
      </c>
      <c r="O252" t="b">
        <v>0</v>
      </c>
      <c r="P252">
        <v>152396</v>
      </c>
    </row>
    <row r="253" spans="1:16" x14ac:dyDescent="0.3">
      <c r="A253" t="s">
        <v>502</v>
      </c>
      <c r="B253" t="s">
        <v>503</v>
      </c>
      <c r="C253" t="s">
        <v>18</v>
      </c>
      <c r="D253" t="s">
        <v>19</v>
      </c>
      <c r="E253" t="s">
        <v>20</v>
      </c>
      <c r="F253">
        <v>512</v>
      </c>
      <c r="G253">
        <v>152908</v>
      </c>
      <c r="H253">
        <v>2022</v>
      </c>
      <c r="I253">
        <v>7</v>
      </c>
      <c r="J253" t="s">
        <v>441</v>
      </c>
      <c r="K253">
        <v>3</v>
      </c>
      <c r="L253" t="s">
        <v>22</v>
      </c>
      <c r="M253">
        <v>5</v>
      </c>
      <c r="N253" t="b">
        <v>1</v>
      </c>
      <c r="O253" t="b">
        <v>0</v>
      </c>
      <c r="P253">
        <v>152908</v>
      </c>
    </row>
    <row r="254" spans="1:16" x14ac:dyDescent="0.3">
      <c r="A254" t="s">
        <v>504</v>
      </c>
      <c r="B254" t="s">
        <v>505</v>
      </c>
      <c r="C254" t="s">
        <v>18</v>
      </c>
      <c r="D254" t="s">
        <v>19</v>
      </c>
      <c r="E254" t="s">
        <v>20</v>
      </c>
      <c r="F254">
        <v>854</v>
      </c>
      <c r="G254">
        <v>153762</v>
      </c>
      <c r="H254">
        <v>2022</v>
      </c>
      <c r="I254">
        <v>7</v>
      </c>
      <c r="J254" t="s">
        <v>441</v>
      </c>
      <c r="K254">
        <v>3</v>
      </c>
      <c r="L254" t="s">
        <v>25</v>
      </c>
      <c r="M254">
        <v>6</v>
      </c>
      <c r="N254" t="b">
        <v>1</v>
      </c>
      <c r="O254" t="b">
        <v>0</v>
      </c>
      <c r="P254">
        <v>153762</v>
      </c>
    </row>
    <row r="255" spans="1:16" x14ac:dyDescent="0.3">
      <c r="A255" t="s">
        <v>504</v>
      </c>
      <c r="B255" t="s">
        <v>506</v>
      </c>
      <c r="C255" t="s">
        <v>55</v>
      </c>
      <c r="D255" t="s">
        <v>56</v>
      </c>
      <c r="E255" t="s">
        <v>35</v>
      </c>
      <c r="F255">
        <v>372</v>
      </c>
      <c r="G255">
        <v>153390</v>
      </c>
      <c r="H255">
        <v>2022</v>
      </c>
      <c r="I255">
        <v>7</v>
      </c>
      <c r="J255" t="s">
        <v>441</v>
      </c>
      <c r="K255">
        <v>3</v>
      </c>
      <c r="L255" t="s">
        <v>25</v>
      </c>
      <c r="M255">
        <v>6</v>
      </c>
      <c r="N255" t="b">
        <v>0</v>
      </c>
      <c r="O255" t="b">
        <v>1</v>
      </c>
      <c r="P255">
        <v>153390</v>
      </c>
    </row>
    <row r="256" spans="1:16" x14ac:dyDescent="0.3">
      <c r="A256" t="s">
        <v>507</v>
      </c>
      <c r="B256" t="s">
        <v>508</v>
      </c>
      <c r="C256" t="s">
        <v>18</v>
      </c>
      <c r="D256" t="s">
        <v>19</v>
      </c>
      <c r="E256" t="s">
        <v>20</v>
      </c>
      <c r="F256">
        <v>561</v>
      </c>
      <c r="G256">
        <v>153951</v>
      </c>
      <c r="H256">
        <v>2022</v>
      </c>
      <c r="I256">
        <v>8</v>
      </c>
      <c r="J256" t="s">
        <v>509</v>
      </c>
      <c r="K256">
        <v>3</v>
      </c>
      <c r="L256" t="s">
        <v>28</v>
      </c>
      <c r="M256">
        <v>0</v>
      </c>
      <c r="N256" t="b">
        <v>1</v>
      </c>
      <c r="O256" t="b">
        <v>0</v>
      </c>
      <c r="P256">
        <v>153951</v>
      </c>
    </row>
    <row r="257" spans="1:16" x14ac:dyDescent="0.3">
      <c r="A257" t="s">
        <v>510</v>
      </c>
      <c r="B257" t="s">
        <v>511</v>
      </c>
      <c r="C257" t="s">
        <v>18</v>
      </c>
      <c r="D257" t="s">
        <v>19</v>
      </c>
      <c r="E257" t="s">
        <v>20</v>
      </c>
      <c r="F257">
        <v>716</v>
      </c>
      <c r="G257">
        <v>154667</v>
      </c>
      <c r="H257">
        <v>2022</v>
      </c>
      <c r="I257">
        <v>8</v>
      </c>
      <c r="J257" t="s">
        <v>509</v>
      </c>
      <c r="K257">
        <v>3</v>
      </c>
      <c r="L257" t="s">
        <v>31</v>
      </c>
      <c r="M257">
        <v>1</v>
      </c>
      <c r="N257" t="b">
        <v>1</v>
      </c>
      <c r="O257" t="b">
        <v>0</v>
      </c>
      <c r="P257">
        <v>154667</v>
      </c>
    </row>
    <row r="258" spans="1:16" x14ac:dyDescent="0.3">
      <c r="A258" t="s">
        <v>512</v>
      </c>
      <c r="B258" t="s">
        <v>513</v>
      </c>
      <c r="C258" t="s">
        <v>18</v>
      </c>
      <c r="D258" t="s">
        <v>19</v>
      </c>
      <c r="E258" t="s">
        <v>20</v>
      </c>
      <c r="F258">
        <v>686</v>
      </c>
      <c r="G258">
        <v>155353</v>
      </c>
      <c r="H258">
        <v>2022</v>
      </c>
      <c r="I258">
        <v>8</v>
      </c>
      <c r="J258" t="s">
        <v>509</v>
      </c>
      <c r="K258">
        <v>3</v>
      </c>
      <c r="L258" t="s">
        <v>38</v>
      </c>
      <c r="M258">
        <v>2</v>
      </c>
      <c r="N258" t="b">
        <v>1</v>
      </c>
      <c r="O258" t="b">
        <v>0</v>
      </c>
      <c r="P258">
        <v>155353</v>
      </c>
    </row>
    <row r="259" spans="1:16" x14ac:dyDescent="0.3">
      <c r="A259" t="s">
        <v>512</v>
      </c>
      <c r="B259" t="s">
        <v>514</v>
      </c>
      <c r="C259" t="s">
        <v>46</v>
      </c>
      <c r="D259" t="s">
        <v>34</v>
      </c>
      <c r="E259" t="s">
        <v>35</v>
      </c>
      <c r="F259">
        <v>199</v>
      </c>
      <c r="G259">
        <v>155154</v>
      </c>
      <c r="H259">
        <v>2022</v>
      </c>
      <c r="I259">
        <v>8</v>
      </c>
      <c r="J259" t="s">
        <v>509</v>
      </c>
      <c r="K259">
        <v>3</v>
      </c>
      <c r="L259" t="s">
        <v>38</v>
      </c>
      <c r="M259">
        <v>2</v>
      </c>
      <c r="N259" t="b">
        <v>0</v>
      </c>
      <c r="O259" t="b">
        <v>1</v>
      </c>
      <c r="P259">
        <v>155154</v>
      </c>
    </row>
    <row r="260" spans="1:16" x14ac:dyDescent="0.3">
      <c r="A260" t="s">
        <v>515</v>
      </c>
      <c r="B260" t="s">
        <v>516</v>
      </c>
      <c r="C260" t="s">
        <v>18</v>
      </c>
      <c r="D260" t="s">
        <v>19</v>
      </c>
      <c r="E260" t="s">
        <v>20</v>
      </c>
      <c r="F260">
        <v>944</v>
      </c>
      <c r="G260">
        <v>156098</v>
      </c>
      <c r="H260">
        <v>2022</v>
      </c>
      <c r="I260">
        <v>8</v>
      </c>
      <c r="J260" t="s">
        <v>509</v>
      </c>
      <c r="K260">
        <v>3</v>
      </c>
      <c r="L260" t="s">
        <v>41</v>
      </c>
      <c r="M260">
        <v>3</v>
      </c>
      <c r="N260" t="b">
        <v>1</v>
      </c>
      <c r="O260" t="b">
        <v>0</v>
      </c>
      <c r="P260">
        <v>156098</v>
      </c>
    </row>
    <row r="261" spans="1:16" x14ac:dyDescent="0.3">
      <c r="A261" t="s">
        <v>517</v>
      </c>
      <c r="B261" t="s">
        <v>518</v>
      </c>
      <c r="C261" t="s">
        <v>18</v>
      </c>
      <c r="D261" t="s">
        <v>19</v>
      </c>
      <c r="E261" t="s">
        <v>20</v>
      </c>
      <c r="F261">
        <v>575</v>
      </c>
      <c r="G261">
        <v>156673</v>
      </c>
      <c r="H261">
        <v>2022</v>
      </c>
      <c r="I261">
        <v>8</v>
      </c>
      <c r="J261" t="s">
        <v>509</v>
      </c>
      <c r="K261">
        <v>3</v>
      </c>
      <c r="L261" t="s">
        <v>44</v>
      </c>
      <c r="M261">
        <v>4</v>
      </c>
      <c r="N261" t="b">
        <v>1</v>
      </c>
      <c r="O261" t="b">
        <v>0</v>
      </c>
      <c r="P261">
        <v>156673</v>
      </c>
    </row>
    <row r="262" spans="1:16" x14ac:dyDescent="0.3">
      <c r="A262" t="s">
        <v>519</v>
      </c>
      <c r="B262" t="s">
        <v>520</v>
      </c>
      <c r="C262" t="s">
        <v>18</v>
      </c>
      <c r="D262" t="s">
        <v>19</v>
      </c>
      <c r="E262" t="s">
        <v>20</v>
      </c>
      <c r="F262">
        <v>783</v>
      </c>
      <c r="G262">
        <v>157456</v>
      </c>
      <c r="H262">
        <v>2022</v>
      </c>
      <c r="I262">
        <v>8</v>
      </c>
      <c r="J262" t="s">
        <v>509</v>
      </c>
      <c r="K262">
        <v>3</v>
      </c>
      <c r="L262" t="s">
        <v>22</v>
      </c>
      <c r="M262">
        <v>5</v>
      </c>
      <c r="N262" t="b">
        <v>1</v>
      </c>
      <c r="O262" t="b">
        <v>0</v>
      </c>
      <c r="P262">
        <v>157456</v>
      </c>
    </row>
    <row r="263" spans="1:16" x14ac:dyDescent="0.3">
      <c r="A263" t="s">
        <v>521</v>
      </c>
      <c r="B263" t="s">
        <v>522</v>
      </c>
      <c r="C263" t="s">
        <v>18</v>
      </c>
      <c r="D263" t="s">
        <v>19</v>
      </c>
      <c r="E263" t="s">
        <v>20</v>
      </c>
      <c r="F263">
        <v>883</v>
      </c>
      <c r="G263">
        <v>158339</v>
      </c>
      <c r="H263">
        <v>2022</v>
      </c>
      <c r="I263">
        <v>8</v>
      </c>
      <c r="J263" t="s">
        <v>509</v>
      </c>
      <c r="K263">
        <v>3</v>
      </c>
      <c r="L263" t="s">
        <v>25</v>
      </c>
      <c r="M263">
        <v>6</v>
      </c>
      <c r="N263" t="b">
        <v>1</v>
      </c>
      <c r="O263" t="b">
        <v>0</v>
      </c>
      <c r="P263">
        <v>158339</v>
      </c>
    </row>
    <row r="264" spans="1:16" x14ac:dyDescent="0.3">
      <c r="A264" t="s">
        <v>523</v>
      </c>
      <c r="B264" t="s">
        <v>524</v>
      </c>
      <c r="C264" t="s">
        <v>18</v>
      </c>
      <c r="D264" t="s">
        <v>19</v>
      </c>
      <c r="E264" t="s">
        <v>20</v>
      </c>
      <c r="F264">
        <v>866</v>
      </c>
      <c r="G264">
        <v>159205</v>
      </c>
      <c r="H264">
        <v>2022</v>
      </c>
      <c r="I264">
        <v>8</v>
      </c>
      <c r="J264" t="s">
        <v>509</v>
      </c>
      <c r="K264">
        <v>3</v>
      </c>
      <c r="L264" t="s">
        <v>28</v>
      </c>
      <c r="M264">
        <v>0</v>
      </c>
      <c r="N264" t="b">
        <v>1</v>
      </c>
      <c r="O264" t="b">
        <v>0</v>
      </c>
      <c r="P264">
        <v>159205</v>
      </c>
    </row>
    <row r="265" spans="1:16" x14ac:dyDescent="0.3">
      <c r="A265" t="s">
        <v>523</v>
      </c>
      <c r="B265" t="s">
        <v>525</v>
      </c>
      <c r="C265" t="s">
        <v>33</v>
      </c>
      <c r="D265" t="s">
        <v>34</v>
      </c>
      <c r="E265" t="s">
        <v>35</v>
      </c>
      <c r="F265">
        <v>168</v>
      </c>
      <c r="G265">
        <v>159037</v>
      </c>
      <c r="H265">
        <v>2022</v>
      </c>
      <c r="I265">
        <v>8</v>
      </c>
      <c r="J265" t="s">
        <v>509</v>
      </c>
      <c r="K265">
        <v>3</v>
      </c>
      <c r="L265" t="s">
        <v>28</v>
      </c>
      <c r="M265">
        <v>0</v>
      </c>
      <c r="N265" t="b">
        <v>0</v>
      </c>
      <c r="O265" t="b">
        <v>1</v>
      </c>
      <c r="P265">
        <v>159037</v>
      </c>
    </row>
    <row r="266" spans="1:16" x14ac:dyDescent="0.3">
      <c r="A266" t="s">
        <v>526</v>
      </c>
      <c r="B266" t="s">
        <v>527</v>
      </c>
      <c r="C266" t="s">
        <v>18</v>
      </c>
      <c r="D266" t="s">
        <v>19</v>
      </c>
      <c r="E266" t="s">
        <v>20</v>
      </c>
      <c r="F266">
        <v>895</v>
      </c>
      <c r="G266">
        <v>159932</v>
      </c>
      <c r="H266">
        <v>2022</v>
      </c>
      <c r="I266">
        <v>8</v>
      </c>
      <c r="J266" t="s">
        <v>509</v>
      </c>
      <c r="K266">
        <v>3</v>
      </c>
      <c r="L266" t="s">
        <v>31</v>
      </c>
      <c r="M266">
        <v>1</v>
      </c>
      <c r="N266" t="b">
        <v>1</v>
      </c>
      <c r="O266" t="b">
        <v>0</v>
      </c>
      <c r="P266">
        <v>159932</v>
      </c>
    </row>
    <row r="267" spans="1:16" x14ac:dyDescent="0.3">
      <c r="A267" t="s">
        <v>528</v>
      </c>
      <c r="B267" t="s">
        <v>529</v>
      </c>
      <c r="C267" t="s">
        <v>18</v>
      </c>
      <c r="D267" t="s">
        <v>19</v>
      </c>
      <c r="E267" t="s">
        <v>20</v>
      </c>
      <c r="F267">
        <v>878</v>
      </c>
      <c r="G267">
        <v>160810</v>
      </c>
      <c r="H267">
        <v>2022</v>
      </c>
      <c r="I267">
        <v>8</v>
      </c>
      <c r="J267" t="s">
        <v>509</v>
      </c>
      <c r="K267">
        <v>3</v>
      </c>
      <c r="L267" t="s">
        <v>38</v>
      </c>
      <c r="M267">
        <v>2</v>
      </c>
      <c r="N267" t="b">
        <v>1</v>
      </c>
      <c r="O267" t="b">
        <v>0</v>
      </c>
      <c r="P267">
        <v>160810</v>
      </c>
    </row>
    <row r="268" spans="1:16" x14ac:dyDescent="0.3">
      <c r="A268" t="s">
        <v>530</v>
      </c>
      <c r="B268" t="s">
        <v>531</v>
      </c>
      <c r="C268" t="s">
        <v>18</v>
      </c>
      <c r="D268" t="s">
        <v>19</v>
      </c>
      <c r="E268" t="s">
        <v>20</v>
      </c>
      <c r="F268">
        <v>552</v>
      </c>
      <c r="G268">
        <v>161362</v>
      </c>
      <c r="H268">
        <v>2022</v>
      </c>
      <c r="I268">
        <v>8</v>
      </c>
      <c r="J268" t="s">
        <v>509</v>
      </c>
      <c r="K268">
        <v>3</v>
      </c>
      <c r="L268" t="s">
        <v>41</v>
      </c>
      <c r="M268">
        <v>3</v>
      </c>
      <c r="N268" t="b">
        <v>1</v>
      </c>
      <c r="O268" t="b">
        <v>0</v>
      </c>
      <c r="P268">
        <v>161362</v>
      </c>
    </row>
    <row r="269" spans="1:16" x14ac:dyDescent="0.3">
      <c r="A269" t="s">
        <v>532</v>
      </c>
      <c r="B269" t="s">
        <v>533</v>
      </c>
      <c r="C269" t="s">
        <v>18</v>
      </c>
      <c r="D269" t="s">
        <v>19</v>
      </c>
      <c r="E269" t="s">
        <v>20</v>
      </c>
      <c r="F269">
        <v>556</v>
      </c>
      <c r="G269">
        <v>161918</v>
      </c>
      <c r="H269">
        <v>2022</v>
      </c>
      <c r="I269">
        <v>8</v>
      </c>
      <c r="J269" t="s">
        <v>509</v>
      </c>
      <c r="K269">
        <v>3</v>
      </c>
      <c r="L269" t="s">
        <v>44</v>
      </c>
      <c r="M269">
        <v>4</v>
      </c>
      <c r="N269" t="b">
        <v>1</v>
      </c>
      <c r="O269" t="b">
        <v>0</v>
      </c>
      <c r="P269">
        <v>161918</v>
      </c>
    </row>
    <row r="270" spans="1:16" x14ac:dyDescent="0.3">
      <c r="A270" t="s">
        <v>532</v>
      </c>
      <c r="B270" t="s">
        <v>534</v>
      </c>
      <c r="C270" t="s">
        <v>88</v>
      </c>
      <c r="D270" t="s">
        <v>56</v>
      </c>
      <c r="E270" t="s">
        <v>35</v>
      </c>
      <c r="F270">
        <v>280</v>
      </c>
      <c r="G270">
        <v>161638</v>
      </c>
      <c r="H270">
        <v>2022</v>
      </c>
      <c r="I270">
        <v>8</v>
      </c>
      <c r="J270" t="s">
        <v>509</v>
      </c>
      <c r="K270">
        <v>3</v>
      </c>
      <c r="L270" t="s">
        <v>44</v>
      </c>
      <c r="M270">
        <v>4</v>
      </c>
      <c r="N270" t="b">
        <v>0</v>
      </c>
      <c r="O270" t="b">
        <v>1</v>
      </c>
      <c r="P270">
        <v>161638</v>
      </c>
    </row>
    <row r="271" spans="1:16" x14ac:dyDescent="0.3">
      <c r="A271" t="s">
        <v>535</v>
      </c>
      <c r="B271" t="s">
        <v>536</v>
      </c>
      <c r="C271" t="s">
        <v>18</v>
      </c>
      <c r="D271" t="s">
        <v>19</v>
      </c>
      <c r="E271" t="s">
        <v>20</v>
      </c>
      <c r="F271">
        <v>685</v>
      </c>
      <c r="G271">
        <v>162323</v>
      </c>
      <c r="H271">
        <v>2022</v>
      </c>
      <c r="I271">
        <v>8</v>
      </c>
      <c r="J271" t="s">
        <v>509</v>
      </c>
      <c r="K271">
        <v>3</v>
      </c>
      <c r="L271" t="s">
        <v>22</v>
      </c>
      <c r="M271">
        <v>5</v>
      </c>
      <c r="N271" t="b">
        <v>1</v>
      </c>
      <c r="O271" t="b">
        <v>0</v>
      </c>
      <c r="P271">
        <v>162323</v>
      </c>
    </row>
    <row r="272" spans="1:16" x14ac:dyDescent="0.3">
      <c r="A272" t="s">
        <v>535</v>
      </c>
      <c r="B272" t="s">
        <v>537</v>
      </c>
      <c r="C272" t="s">
        <v>88</v>
      </c>
      <c r="D272" t="s">
        <v>56</v>
      </c>
      <c r="E272" t="s">
        <v>35</v>
      </c>
      <c r="F272">
        <v>322</v>
      </c>
      <c r="G272">
        <v>162001</v>
      </c>
      <c r="H272">
        <v>2022</v>
      </c>
      <c r="I272">
        <v>8</v>
      </c>
      <c r="J272" t="s">
        <v>509</v>
      </c>
      <c r="K272">
        <v>3</v>
      </c>
      <c r="L272" t="s">
        <v>22</v>
      </c>
      <c r="M272">
        <v>5</v>
      </c>
      <c r="N272" t="b">
        <v>0</v>
      </c>
      <c r="O272" t="b">
        <v>1</v>
      </c>
      <c r="P272">
        <v>162001</v>
      </c>
    </row>
    <row r="273" spans="1:16" x14ac:dyDescent="0.3">
      <c r="A273" t="s">
        <v>538</v>
      </c>
      <c r="B273" t="s">
        <v>539</v>
      </c>
      <c r="C273" t="s">
        <v>18</v>
      </c>
      <c r="D273" t="s">
        <v>19</v>
      </c>
      <c r="E273" t="s">
        <v>20</v>
      </c>
      <c r="F273">
        <v>632</v>
      </c>
      <c r="G273">
        <v>162633</v>
      </c>
      <c r="H273">
        <v>2022</v>
      </c>
      <c r="I273">
        <v>8</v>
      </c>
      <c r="J273" t="s">
        <v>509</v>
      </c>
      <c r="K273">
        <v>3</v>
      </c>
      <c r="L273" t="s">
        <v>25</v>
      </c>
      <c r="M273">
        <v>6</v>
      </c>
      <c r="N273" t="b">
        <v>1</v>
      </c>
      <c r="O273" t="b">
        <v>0</v>
      </c>
      <c r="P273">
        <v>162633</v>
      </c>
    </row>
    <row r="274" spans="1:16" x14ac:dyDescent="0.3">
      <c r="A274" t="s">
        <v>540</v>
      </c>
      <c r="B274" t="s">
        <v>541</v>
      </c>
      <c r="C274" t="s">
        <v>18</v>
      </c>
      <c r="D274" t="s">
        <v>19</v>
      </c>
      <c r="E274" t="s">
        <v>20</v>
      </c>
      <c r="F274">
        <v>720</v>
      </c>
      <c r="G274">
        <v>163353</v>
      </c>
      <c r="H274">
        <v>2022</v>
      </c>
      <c r="I274">
        <v>8</v>
      </c>
      <c r="J274" t="s">
        <v>509</v>
      </c>
      <c r="K274">
        <v>3</v>
      </c>
      <c r="L274" t="s">
        <v>28</v>
      </c>
      <c r="M274">
        <v>0</v>
      </c>
      <c r="N274" t="b">
        <v>1</v>
      </c>
      <c r="O274" t="b">
        <v>0</v>
      </c>
      <c r="P274">
        <v>163353</v>
      </c>
    </row>
    <row r="275" spans="1:16" x14ac:dyDescent="0.3">
      <c r="A275" t="s">
        <v>542</v>
      </c>
      <c r="B275" t="s">
        <v>543</v>
      </c>
      <c r="C275" t="s">
        <v>18</v>
      </c>
      <c r="D275" t="s">
        <v>19</v>
      </c>
      <c r="E275" t="s">
        <v>20</v>
      </c>
      <c r="F275">
        <v>645</v>
      </c>
      <c r="G275">
        <v>163998</v>
      </c>
      <c r="H275">
        <v>2022</v>
      </c>
      <c r="I275">
        <v>8</v>
      </c>
      <c r="J275" t="s">
        <v>509</v>
      </c>
      <c r="K275">
        <v>3</v>
      </c>
      <c r="L275" t="s">
        <v>31</v>
      </c>
      <c r="M275">
        <v>1</v>
      </c>
      <c r="N275" t="b">
        <v>1</v>
      </c>
      <c r="O275" t="b">
        <v>0</v>
      </c>
      <c r="P275">
        <v>163998</v>
      </c>
    </row>
    <row r="276" spans="1:16" x14ac:dyDescent="0.3">
      <c r="A276" t="s">
        <v>544</v>
      </c>
      <c r="B276" t="s">
        <v>545</v>
      </c>
      <c r="C276" t="s">
        <v>18</v>
      </c>
      <c r="D276" t="s">
        <v>19</v>
      </c>
      <c r="E276" t="s">
        <v>20</v>
      </c>
      <c r="F276">
        <v>508</v>
      </c>
      <c r="G276">
        <v>164506</v>
      </c>
      <c r="H276">
        <v>2022</v>
      </c>
      <c r="I276">
        <v>8</v>
      </c>
      <c r="J276" t="s">
        <v>509</v>
      </c>
      <c r="K276">
        <v>3</v>
      </c>
      <c r="L276" t="s">
        <v>38</v>
      </c>
      <c r="M276">
        <v>2</v>
      </c>
      <c r="N276" t="b">
        <v>1</v>
      </c>
      <c r="O276" t="b">
        <v>0</v>
      </c>
      <c r="P276">
        <v>164506</v>
      </c>
    </row>
    <row r="277" spans="1:16" x14ac:dyDescent="0.3">
      <c r="A277" t="s">
        <v>546</v>
      </c>
      <c r="B277" t="s">
        <v>547</v>
      </c>
      <c r="C277" t="s">
        <v>18</v>
      </c>
      <c r="D277" t="s">
        <v>19</v>
      </c>
      <c r="E277" t="s">
        <v>20</v>
      </c>
      <c r="F277">
        <v>991</v>
      </c>
      <c r="G277">
        <v>165497</v>
      </c>
      <c r="H277">
        <v>2022</v>
      </c>
      <c r="I277">
        <v>8</v>
      </c>
      <c r="J277" t="s">
        <v>509</v>
      </c>
      <c r="K277">
        <v>3</v>
      </c>
      <c r="L277" t="s">
        <v>41</v>
      </c>
      <c r="M277">
        <v>3</v>
      </c>
      <c r="N277" t="b">
        <v>1</v>
      </c>
      <c r="O277" t="b">
        <v>0</v>
      </c>
      <c r="P277">
        <v>165497</v>
      </c>
    </row>
    <row r="278" spans="1:16" x14ac:dyDescent="0.3">
      <c r="A278" t="s">
        <v>548</v>
      </c>
      <c r="B278" t="s">
        <v>549</v>
      </c>
      <c r="C278" t="s">
        <v>18</v>
      </c>
      <c r="D278" t="s">
        <v>19</v>
      </c>
      <c r="E278" t="s">
        <v>20</v>
      </c>
      <c r="F278">
        <v>729</v>
      </c>
      <c r="G278">
        <v>166226</v>
      </c>
      <c r="H278">
        <v>2022</v>
      </c>
      <c r="I278">
        <v>8</v>
      </c>
      <c r="J278" t="s">
        <v>509</v>
      </c>
      <c r="K278">
        <v>3</v>
      </c>
      <c r="L278" t="s">
        <v>44</v>
      </c>
      <c r="M278">
        <v>4</v>
      </c>
      <c r="N278" t="b">
        <v>1</v>
      </c>
      <c r="O278" t="b">
        <v>0</v>
      </c>
      <c r="P278">
        <v>166226</v>
      </c>
    </row>
    <row r="279" spans="1:16" x14ac:dyDescent="0.3">
      <c r="A279" t="s">
        <v>548</v>
      </c>
      <c r="B279" t="s">
        <v>550</v>
      </c>
      <c r="C279" t="s">
        <v>88</v>
      </c>
      <c r="D279" t="s">
        <v>56</v>
      </c>
      <c r="E279" t="s">
        <v>35</v>
      </c>
      <c r="F279">
        <v>240</v>
      </c>
      <c r="G279">
        <v>165986</v>
      </c>
      <c r="H279">
        <v>2022</v>
      </c>
      <c r="I279">
        <v>8</v>
      </c>
      <c r="J279" t="s">
        <v>509</v>
      </c>
      <c r="K279">
        <v>3</v>
      </c>
      <c r="L279" t="s">
        <v>44</v>
      </c>
      <c r="M279">
        <v>4</v>
      </c>
      <c r="N279" t="b">
        <v>0</v>
      </c>
      <c r="O279" t="b">
        <v>1</v>
      </c>
      <c r="P279">
        <v>165986</v>
      </c>
    </row>
    <row r="280" spans="1:16" x14ac:dyDescent="0.3">
      <c r="A280" t="s">
        <v>551</v>
      </c>
      <c r="B280" t="s">
        <v>552</v>
      </c>
      <c r="C280" t="s">
        <v>18</v>
      </c>
      <c r="D280" t="s">
        <v>19</v>
      </c>
      <c r="E280" t="s">
        <v>20</v>
      </c>
      <c r="F280">
        <v>892</v>
      </c>
      <c r="G280">
        <v>166878</v>
      </c>
      <c r="H280">
        <v>2022</v>
      </c>
      <c r="I280">
        <v>8</v>
      </c>
      <c r="J280" t="s">
        <v>509</v>
      </c>
      <c r="K280">
        <v>3</v>
      </c>
      <c r="L280" t="s">
        <v>22</v>
      </c>
      <c r="M280">
        <v>5</v>
      </c>
      <c r="N280" t="b">
        <v>1</v>
      </c>
      <c r="O280" t="b">
        <v>0</v>
      </c>
      <c r="P280">
        <v>166878</v>
      </c>
    </row>
    <row r="281" spans="1:16" x14ac:dyDescent="0.3">
      <c r="A281" t="s">
        <v>553</v>
      </c>
      <c r="B281" t="s">
        <v>554</v>
      </c>
      <c r="C281" t="s">
        <v>18</v>
      </c>
      <c r="D281" t="s">
        <v>19</v>
      </c>
      <c r="E281" t="s">
        <v>20</v>
      </c>
      <c r="F281">
        <v>621</v>
      </c>
      <c r="G281">
        <v>167499</v>
      </c>
      <c r="H281">
        <v>2022</v>
      </c>
      <c r="I281">
        <v>8</v>
      </c>
      <c r="J281" t="s">
        <v>509</v>
      </c>
      <c r="K281">
        <v>3</v>
      </c>
      <c r="L281" t="s">
        <v>25</v>
      </c>
      <c r="M281">
        <v>6</v>
      </c>
      <c r="N281" t="b">
        <v>1</v>
      </c>
      <c r="O281" t="b">
        <v>0</v>
      </c>
      <c r="P281">
        <v>167499</v>
      </c>
    </row>
    <row r="282" spans="1:16" x14ac:dyDescent="0.3">
      <c r="A282" t="s">
        <v>553</v>
      </c>
      <c r="B282" t="s">
        <v>555</v>
      </c>
      <c r="C282" t="s">
        <v>137</v>
      </c>
      <c r="D282" t="s">
        <v>34</v>
      </c>
      <c r="E282" t="s">
        <v>35</v>
      </c>
      <c r="F282">
        <v>128</v>
      </c>
      <c r="G282">
        <v>167371</v>
      </c>
      <c r="H282">
        <v>2022</v>
      </c>
      <c r="I282">
        <v>8</v>
      </c>
      <c r="J282" t="s">
        <v>509</v>
      </c>
      <c r="K282">
        <v>3</v>
      </c>
      <c r="L282" t="s">
        <v>25</v>
      </c>
      <c r="M282">
        <v>6</v>
      </c>
      <c r="N282" t="b">
        <v>0</v>
      </c>
      <c r="O282" t="b">
        <v>1</v>
      </c>
      <c r="P282">
        <v>167371</v>
      </c>
    </row>
    <row r="283" spans="1:16" x14ac:dyDescent="0.3">
      <c r="A283" t="s">
        <v>556</v>
      </c>
      <c r="B283" t="s">
        <v>557</v>
      </c>
      <c r="C283" t="s">
        <v>18</v>
      </c>
      <c r="D283" t="s">
        <v>19</v>
      </c>
      <c r="E283" t="s">
        <v>20</v>
      </c>
      <c r="F283">
        <v>921</v>
      </c>
      <c r="G283">
        <v>168292</v>
      </c>
      <c r="H283">
        <v>2022</v>
      </c>
      <c r="I283">
        <v>8</v>
      </c>
      <c r="J283" t="s">
        <v>509</v>
      </c>
      <c r="K283">
        <v>3</v>
      </c>
      <c r="L283" t="s">
        <v>28</v>
      </c>
      <c r="M283">
        <v>0</v>
      </c>
      <c r="N283" t="b">
        <v>1</v>
      </c>
      <c r="O283" t="b">
        <v>0</v>
      </c>
      <c r="P283">
        <v>168292</v>
      </c>
    </row>
    <row r="284" spans="1:16" x14ac:dyDescent="0.3">
      <c r="A284" t="s">
        <v>558</v>
      </c>
      <c r="B284" t="s">
        <v>559</v>
      </c>
      <c r="C284" t="s">
        <v>18</v>
      </c>
      <c r="D284" t="s">
        <v>19</v>
      </c>
      <c r="E284" t="s">
        <v>20</v>
      </c>
      <c r="F284">
        <v>995</v>
      </c>
      <c r="G284">
        <v>169287</v>
      </c>
      <c r="H284">
        <v>2022</v>
      </c>
      <c r="I284">
        <v>8</v>
      </c>
      <c r="J284" t="s">
        <v>509</v>
      </c>
      <c r="K284">
        <v>3</v>
      </c>
      <c r="L284" t="s">
        <v>31</v>
      </c>
      <c r="M284">
        <v>1</v>
      </c>
      <c r="N284" t="b">
        <v>1</v>
      </c>
      <c r="O284" t="b">
        <v>0</v>
      </c>
      <c r="P284">
        <v>169287</v>
      </c>
    </row>
    <row r="285" spans="1:16" x14ac:dyDescent="0.3">
      <c r="A285" t="s">
        <v>560</v>
      </c>
      <c r="B285" t="s">
        <v>561</v>
      </c>
      <c r="C285" t="s">
        <v>18</v>
      </c>
      <c r="D285" t="s">
        <v>19</v>
      </c>
      <c r="E285" t="s">
        <v>20</v>
      </c>
      <c r="F285">
        <v>841</v>
      </c>
      <c r="G285">
        <v>170128</v>
      </c>
      <c r="H285">
        <v>2022</v>
      </c>
      <c r="I285">
        <v>8</v>
      </c>
      <c r="J285" t="s">
        <v>509</v>
      </c>
      <c r="K285">
        <v>3</v>
      </c>
      <c r="L285" t="s">
        <v>38</v>
      </c>
      <c r="M285">
        <v>2</v>
      </c>
      <c r="N285" t="b">
        <v>1</v>
      </c>
      <c r="O285" t="b">
        <v>0</v>
      </c>
      <c r="P285">
        <v>170128</v>
      </c>
    </row>
    <row r="286" spans="1:16" x14ac:dyDescent="0.3">
      <c r="A286" t="s">
        <v>562</v>
      </c>
      <c r="B286" t="s">
        <v>563</v>
      </c>
      <c r="C286" t="s">
        <v>18</v>
      </c>
      <c r="D286" t="s">
        <v>19</v>
      </c>
      <c r="E286" t="s">
        <v>20</v>
      </c>
      <c r="F286">
        <v>826</v>
      </c>
      <c r="G286">
        <v>170954</v>
      </c>
      <c r="H286">
        <v>2022</v>
      </c>
      <c r="I286">
        <v>8</v>
      </c>
      <c r="J286" t="s">
        <v>509</v>
      </c>
      <c r="K286">
        <v>3</v>
      </c>
      <c r="L286" t="s">
        <v>41</v>
      </c>
      <c r="M286">
        <v>3</v>
      </c>
      <c r="N286" t="b">
        <v>1</v>
      </c>
      <c r="O286" t="b">
        <v>0</v>
      </c>
      <c r="P286">
        <v>170954</v>
      </c>
    </row>
    <row r="287" spans="1:16" x14ac:dyDescent="0.3">
      <c r="A287" t="s">
        <v>564</v>
      </c>
      <c r="B287" t="s">
        <v>565</v>
      </c>
      <c r="C287" t="s">
        <v>18</v>
      </c>
      <c r="D287" t="s">
        <v>19</v>
      </c>
      <c r="E287" t="s">
        <v>20</v>
      </c>
      <c r="F287">
        <v>631</v>
      </c>
      <c r="G287">
        <v>171585</v>
      </c>
      <c r="H287">
        <v>2022</v>
      </c>
      <c r="I287">
        <v>8</v>
      </c>
      <c r="J287" t="s">
        <v>509</v>
      </c>
      <c r="K287">
        <v>3</v>
      </c>
      <c r="L287" t="s">
        <v>44</v>
      </c>
      <c r="M287">
        <v>4</v>
      </c>
      <c r="N287" t="b">
        <v>1</v>
      </c>
      <c r="O287" t="b">
        <v>0</v>
      </c>
      <c r="P287">
        <v>171585</v>
      </c>
    </row>
    <row r="288" spans="1:16" x14ac:dyDescent="0.3">
      <c r="A288" t="s">
        <v>566</v>
      </c>
      <c r="B288" t="s">
        <v>567</v>
      </c>
      <c r="C288" t="s">
        <v>33</v>
      </c>
      <c r="D288" t="s">
        <v>34</v>
      </c>
      <c r="E288" t="s">
        <v>35</v>
      </c>
      <c r="F288">
        <v>463</v>
      </c>
      <c r="G288">
        <v>171873</v>
      </c>
      <c r="H288">
        <v>2022</v>
      </c>
      <c r="I288">
        <v>8</v>
      </c>
      <c r="J288" t="s">
        <v>509</v>
      </c>
      <c r="K288">
        <v>3</v>
      </c>
      <c r="L288" t="s">
        <v>22</v>
      </c>
      <c r="M288">
        <v>5</v>
      </c>
      <c r="N288" t="b">
        <v>0</v>
      </c>
      <c r="O288" t="b">
        <v>1</v>
      </c>
      <c r="P288">
        <v>171122</v>
      </c>
    </row>
    <row r="289" spans="1:16" x14ac:dyDescent="0.3">
      <c r="A289" t="s">
        <v>566</v>
      </c>
      <c r="B289" t="s">
        <v>568</v>
      </c>
      <c r="C289" t="s">
        <v>18</v>
      </c>
      <c r="D289" t="s">
        <v>19</v>
      </c>
      <c r="E289" t="s">
        <v>20</v>
      </c>
      <c r="F289">
        <v>751</v>
      </c>
      <c r="G289">
        <v>172336</v>
      </c>
      <c r="H289">
        <v>2022</v>
      </c>
      <c r="I289">
        <v>8</v>
      </c>
      <c r="J289" t="s">
        <v>509</v>
      </c>
      <c r="K289">
        <v>3</v>
      </c>
      <c r="L289" t="s">
        <v>22</v>
      </c>
      <c r="M289">
        <v>5</v>
      </c>
      <c r="N289" t="b">
        <v>1</v>
      </c>
      <c r="O289" t="b">
        <v>0</v>
      </c>
      <c r="P289">
        <v>171873</v>
      </c>
    </row>
    <row r="290" spans="1:16" x14ac:dyDescent="0.3">
      <c r="A290" t="s">
        <v>569</v>
      </c>
      <c r="B290" t="s">
        <v>570</v>
      </c>
      <c r="C290" t="s">
        <v>18</v>
      </c>
      <c r="D290" t="s">
        <v>19</v>
      </c>
      <c r="E290" t="s">
        <v>20</v>
      </c>
      <c r="F290">
        <v>701</v>
      </c>
      <c r="G290">
        <v>172574</v>
      </c>
      <c r="H290">
        <v>2022</v>
      </c>
      <c r="I290">
        <v>8</v>
      </c>
      <c r="J290" t="s">
        <v>509</v>
      </c>
      <c r="K290">
        <v>3</v>
      </c>
      <c r="L290" t="s">
        <v>25</v>
      </c>
      <c r="M290">
        <v>6</v>
      </c>
      <c r="N290" t="b">
        <v>1</v>
      </c>
      <c r="O290" t="b">
        <v>0</v>
      </c>
      <c r="P290">
        <v>172574</v>
      </c>
    </row>
    <row r="291" spans="1:16" x14ac:dyDescent="0.3">
      <c r="A291" t="s">
        <v>571</v>
      </c>
      <c r="B291" t="s">
        <v>572</v>
      </c>
      <c r="C291" t="s">
        <v>18</v>
      </c>
      <c r="D291" t="s">
        <v>19</v>
      </c>
      <c r="E291" t="s">
        <v>20</v>
      </c>
      <c r="F291">
        <v>538</v>
      </c>
      <c r="G291">
        <v>173112</v>
      </c>
      <c r="H291">
        <v>2022</v>
      </c>
      <c r="I291">
        <v>8</v>
      </c>
      <c r="J291" t="s">
        <v>509</v>
      </c>
      <c r="K291">
        <v>3</v>
      </c>
      <c r="L291" t="s">
        <v>28</v>
      </c>
      <c r="M291">
        <v>0</v>
      </c>
      <c r="N291" t="b">
        <v>1</v>
      </c>
      <c r="O291" t="b">
        <v>0</v>
      </c>
      <c r="P291">
        <v>173112</v>
      </c>
    </row>
    <row r="292" spans="1:16" x14ac:dyDescent="0.3">
      <c r="A292" t="s">
        <v>573</v>
      </c>
      <c r="B292" t="s">
        <v>574</v>
      </c>
      <c r="C292" t="s">
        <v>18</v>
      </c>
      <c r="D292" t="s">
        <v>19</v>
      </c>
      <c r="E292" t="s">
        <v>20</v>
      </c>
      <c r="F292">
        <v>672</v>
      </c>
      <c r="G292">
        <v>173784</v>
      </c>
      <c r="H292">
        <v>2022</v>
      </c>
      <c r="I292">
        <v>8</v>
      </c>
      <c r="J292" t="s">
        <v>509</v>
      </c>
      <c r="K292">
        <v>3</v>
      </c>
      <c r="L292" t="s">
        <v>31</v>
      </c>
      <c r="M292">
        <v>1</v>
      </c>
      <c r="N292" t="b">
        <v>1</v>
      </c>
      <c r="O292" t="b">
        <v>0</v>
      </c>
      <c r="P292">
        <v>173784</v>
      </c>
    </row>
    <row r="293" spans="1:16" x14ac:dyDescent="0.3">
      <c r="A293" t="s">
        <v>573</v>
      </c>
      <c r="B293" t="s">
        <v>575</v>
      </c>
      <c r="C293" t="s">
        <v>88</v>
      </c>
      <c r="D293" t="s">
        <v>56</v>
      </c>
      <c r="E293" t="s">
        <v>35</v>
      </c>
      <c r="F293">
        <v>319</v>
      </c>
      <c r="G293">
        <v>173465</v>
      </c>
      <c r="H293">
        <v>2022</v>
      </c>
      <c r="I293">
        <v>8</v>
      </c>
      <c r="J293" t="s">
        <v>509</v>
      </c>
      <c r="K293">
        <v>3</v>
      </c>
      <c r="L293" t="s">
        <v>31</v>
      </c>
      <c r="M293">
        <v>1</v>
      </c>
      <c r="N293" t="b">
        <v>0</v>
      </c>
      <c r="O293" t="b">
        <v>1</v>
      </c>
      <c r="P293">
        <v>173465</v>
      </c>
    </row>
    <row r="294" spans="1:16" x14ac:dyDescent="0.3">
      <c r="A294" t="s">
        <v>576</v>
      </c>
      <c r="B294" t="s">
        <v>577</v>
      </c>
      <c r="C294" t="s">
        <v>18</v>
      </c>
      <c r="D294" t="s">
        <v>19</v>
      </c>
      <c r="E294" t="s">
        <v>20</v>
      </c>
      <c r="F294">
        <v>647</v>
      </c>
      <c r="G294">
        <v>174112</v>
      </c>
      <c r="H294">
        <v>2022</v>
      </c>
      <c r="I294">
        <v>8</v>
      </c>
      <c r="J294" t="s">
        <v>509</v>
      </c>
      <c r="K294">
        <v>3</v>
      </c>
      <c r="L294" t="s">
        <v>38</v>
      </c>
      <c r="M294">
        <v>2</v>
      </c>
      <c r="N294" t="b">
        <v>1</v>
      </c>
      <c r="O294" t="b">
        <v>0</v>
      </c>
      <c r="P294">
        <v>174112</v>
      </c>
    </row>
    <row r="295" spans="1:16" x14ac:dyDescent="0.3">
      <c r="A295" t="s">
        <v>576</v>
      </c>
      <c r="B295" t="s">
        <v>578</v>
      </c>
      <c r="C295" t="s">
        <v>55</v>
      </c>
      <c r="D295" t="s">
        <v>56</v>
      </c>
      <c r="E295" t="s">
        <v>35</v>
      </c>
      <c r="F295">
        <v>416</v>
      </c>
      <c r="G295">
        <v>173696</v>
      </c>
      <c r="H295">
        <v>2022</v>
      </c>
      <c r="I295">
        <v>8</v>
      </c>
      <c r="J295" t="s">
        <v>509</v>
      </c>
      <c r="K295">
        <v>3</v>
      </c>
      <c r="L295" t="s">
        <v>38</v>
      </c>
      <c r="M295">
        <v>2</v>
      </c>
      <c r="N295" t="b">
        <v>0</v>
      </c>
      <c r="O295" t="b">
        <v>1</v>
      </c>
      <c r="P295">
        <v>173696</v>
      </c>
    </row>
    <row r="296" spans="1:16" x14ac:dyDescent="0.3">
      <c r="A296" t="s">
        <v>579</v>
      </c>
      <c r="B296" t="s">
        <v>580</v>
      </c>
      <c r="C296" t="s">
        <v>18</v>
      </c>
      <c r="D296" t="s">
        <v>19</v>
      </c>
      <c r="E296" t="s">
        <v>20</v>
      </c>
      <c r="F296">
        <v>1122</v>
      </c>
      <c r="G296">
        <v>174818</v>
      </c>
      <c r="H296">
        <v>2022</v>
      </c>
      <c r="I296">
        <v>9</v>
      </c>
      <c r="J296" t="s">
        <v>581</v>
      </c>
      <c r="K296">
        <v>3</v>
      </c>
      <c r="L296" t="s">
        <v>41</v>
      </c>
      <c r="M296">
        <v>3</v>
      </c>
      <c r="N296" t="b">
        <v>1</v>
      </c>
      <c r="O296" t="b">
        <v>0</v>
      </c>
      <c r="P296">
        <v>174818</v>
      </c>
    </row>
    <row r="297" spans="1:16" x14ac:dyDescent="0.3">
      <c r="A297" t="s">
        <v>582</v>
      </c>
      <c r="B297" t="s">
        <v>583</v>
      </c>
      <c r="C297" t="s">
        <v>18</v>
      </c>
      <c r="D297" t="s">
        <v>19</v>
      </c>
      <c r="E297" t="s">
        <v>20</v>
      </c>
      <c r="F297">
        <v>1160</v>
      </c>
      <c r="G297">
        <v>175978</v>
      </c>
      <c r="H297">
        <v>2022</v>
      </c>
      <c r="I297">
        <v>9</v>
      </c>
      <c r="J297" t="s">
        <v>581</v>
      </c>
      <c r="K297">
        <v>3</v>
      </c>
      <c r="L297" t="s">
        <v>44</v>
      </c>
      <c r="M297">
        <v>4</v>
      </c>
      <c r="N297" t="b">
        <v>1</v>
      </c>
      <c r="O297" t="b">
        <v>0</v>
      </c>
      <c r="P297">
        <v>175978</v>
      </c>
    </row>
    <row r="298" spans="1:16" x14ac:dyDescent="0.3">
      <c r="A298" t="s">
        <v>584</v>
      </c>
      <c r="B298" t="s">
        <v>585</v>
      </c>
      <c r="C298" t="s">
        <v>18</v>
      </c>
      <c r="D298" t="s">
        <v>19</v>
      </c>
      <c r="E298" t="s">
        <v>20</v>
      </c>
      <c r="F298">
        <v>890</v>
      </c>
      <c r="G298">
        <v>176868</v>
      </c>
      <c r="H298">
        <v>2022</v>
      </c>
      <c r="I298">
        <v>9</v>
      </c>
      <c r="J298" t="s">
        <v>581</v>
      </c>
      <c r="K298">
        <v>3</v>
      </c>
      <c r="L298" t="s">
        <v>22</v>
      </c>
      <c r="M298">
        <v>5</v>
      </c>
      <c r="N298" t="b">
        <v>1</v>
      </c>
      <c r="O298" t="b">
        <v>0</v>
      </c>
      <c r="P298">
        <v>176868</v>
      </c>
    </row>
    <row r="299" spans="1:16" x14ac:dyDescent="0.3">
      <c r="A299" t="s">
        <v>586</v>
      </c>
      <c r="B299" t="s">
        <v>587</v>
      </c>
      <c r="C299" t="s">
        <v>18</v>
      </c>
      <c r="D299" t="s">
        <v>19</v>
      </c>
      <c r="E299" t="s">
        <v>20</v>
      </c>
      <c r="F299">
        <v>1108</v>
      </c>
      <c r="G299">
        <v>177976</v>
      </c>
      <c r="H299">
        <v>2022</v>
      </c>
      <c r="I299">
        <v>9</v>
      </c>
      <c r="J299" t="s">
        <v>581</v>
      </c>
      <c r="K299">
        <v>3</v>
      </c>
      <c r="L299" t="s">
        <v>25</v>
      </c>
      <c r="M299">
        <v>6</v>
      </c>
      <c r="N299" t="b">
        <v>1</v>
      </c>
      <c r="O299" t="b">
        <v>0</v>
      </c>
      <c r="P299">
        <v>177976</v>
      </c>
    </row>
    <row r="300" spans="1:16" x14ac:dyDescent="0.3">
      <c r="A300" t="s">
        <v>588</v>
      </c>
      <c r="B300" t="s">
        <v>589</v>
      </c>
      <c r="C300" t="s">
        <v>18</v>
      </c>
      <c r="D300" t="s">
        <v>19</v>
      </c>
      <c r="E300" t="s">
        <v>20</v>
      </c>
      <c r="F300">
        <v>1121</v>
      </c>
      <c r="G300">
        <v>179097</v>
      </c>
      <c r="H300">
        <v>2022</v>
      </c>
      <c r="I300">
        <v>9</v>
      </c>
      <c r="J300" t="s">
        <v>581</v>
      </c>
      <c r="K300">
        <v>3</v>
      </c>
      <c r="L300" t="s">
        <v>28</v>
      </c>
      <c r="M300">
        <v>0</v>
      </c>
      <c r="N300" t="b">
        <v>1</v>
      </c>
      <c r="O300" t="b">
        <v>0</v>
      </c>
      <c r="P300">
        <v>179097</v>
      </c>
    </row>
    <row r="301" spans="1:16" x14ac:dyDescent="0.3">
      <c r="A301" t="s">
        <v>590</v>
      </c>
      <c r="B301" t="s">
        <v>591</v>
      </c>
      <c r="C301" t="s">
        <v>137</v>
      </c>
      <c r="D301" t="s">
        <v>34</v>
      </c>
      <c r="E301" t="s">
        <v>35</v>
      </c>
      <c r="F301">
        <v>259</v>
      </c>
      <c r="G301">
        <v>179595</v>
      </c>
      <c r="H301">
        <v>2022</v>
      </c>
      <c r="I301">
        <v>9</v>
      </c>
      <c r="J301" t="s">
        <v>581</v>
      </c>
      <c r="K301">
        <v>3</v>
      </c>
      <c r="L301" t="s">
        <v>31</v>
      </c>
      <c r="M301">
        <v>1</v>
      </c>
      <c r="N301" t="b">
        <v>0</v>
      </c>
      <c r="O301" t="b">
        <v>1</v>
      </c>
      <c r="P301">
        <v>178838</v>
      </c>
    </row>
    <row r="302" spans="1:16" x14ac:dyDescent="0.3">
      <c r="A302" t="s">
        <v>590</v>
      </c>
      <c r="B302" t="s">
        <v>592</v>
      </c>
      <c r="C302" t="s">
        <v>18</v>
      </c>
      <c r="D302" t="s">
        <v>19</v>
      </c>
      <c r="E302" t="s">
        <v>20</v>
      </c>
      <c r="F302">
        <v>757</v>
      </c>
      <c r="G302">
        <v>179854</v>
      </c>
      <c r="H302">
        <v>2022</v>
      </c>
      <c r="I302">
        <v>9</v>
      </c>
      <c r="J302" t="s">
        <v>581</v>
      </c>
      <c r="K302">
        <v>3</v>
      </c>
      <c r="L302" t="s">
        <v>31</v>
      </c>
      <c r="M302">
        <v>1</v>
      </c>
      <c r="N302" t="b">
        <v>1</v>
      </c>
      <c r="O302" t="b">
        <v>0</v>
      </c>
      <c r="P302">
        <v>179595</v>
      </c>
    </row>
    <row r="303" spans="1:16" x14ac:dyDescent="0.3">
      <c r="A303" t="s">
        <v>593</v>
      </c>
      <c r="B303" t="s">
        <v>594</v>
      </c>
      <c r="C303" t="s">
        <v>18</v>
      </c>
      <c r="D303" t="s">
        <v>19</v>
      </c>
      <c r="E303" t="s">
        <v>20</v>
      </c>
      <c r="F303">
        <v>1016</v>
      </c>
      <c r="G303">
        <v>180611</v>
      </c>
      <c r="H303">
        <v>2022</v>
      </c>
      <c r="I303">
        <v>9</v>
      </c>
      <c r="J303" t="s">
        <v>581</v>
      </c>
      <c r="K303">
        <v>3</v>
      </c>
      <c r="L303" t="s">
        <v>38</v>
      </c>
      <c r="M303">
        <v>2</v>
      </c>
      <c r="N303" t="b">
        <v>1</v>
      </c>
      <c r="O303" t="b">
        <v>0</v>
      </c>
      <c r="P303">
        <v>180611</v>
      </c>
    </row>
    <row r="304" spans="1:16" x14ac:dyDescent="0.3">
      <c r="A304" t="s">
        <v>595</v>
      </c>
      <c r="B304" t="s">
        <v>596</v>
      </c>
      <c r="C304" t="s">
        <v>18</v>
      </c>
      <c r="D304" t="s">
        <v>19</v>
      </c>
      <c r="E304" t="s">
        <v>20</v>
      </c>
      <c r="F304">
        <v>779</v>
      </c>
      <c r="G304">
        <v>181390</v>
      </c>
      <c r="H304">
        <v>2022</v>
      </c>
      <c r="I304">
        <v>9</v>
      </c>
      <c r="J304" t="s">
        <v>581</v>
      </c>
      <c r="K304">
        <v>3</v>
      </c>
      <c r="L304" t="s">
        <v>41</v>
      </c>
      <c r="M304">
        <v>3</v>
      </c>
      <c r="N304" t="b">
        <v>1</v>
      </c>
      <c r="O304" t="b">
        <v>0</v>
      </c>
      <c r="P304">
        <v>181390</v>
      </c>
    </row>
    <row r="305" spans="1:16" x14ac:dyDescent="0.3">
      <c r="A305" t="s">
        <v>597</v>
      </c>
      <c r="B305" t="s">
        <v>598</v>
      </c>
      <c r="C305" t="s">
        <v>18</v>
      </c>
      <c r="D305" t="s">
        <v>19</v>
      </c>
      <c r="E305" t="s">
        <v>20</v>
      </c>
      <c r="F305">
        <v>902</v>
      </c>
      <c r="G305">
        <v>182292</v>
      </c>
      <c r="H305">
        <v>2022</v>
      </c>
      <c r="I305">
        <v>9</v>
      </c>
      <c r="J305" t="s">
        <v>581</v>
      </c>
      <c r="K305">
        <v>3</v>
      </c>
      <c r="L305" t="s">
        <v>44</v>
      </c>
      <c r="M305">
        <v>4</v>
      </c>
      <c r="N305" t="b">
        <v>1</v>
      </c>
      <c r="O305" t="b">
        <v>0</v>
      </c>
      <c r="P305">
        <v>182292</v>
      </c>
    </row>
    <row r="306" spans="1:16" x14ac:dyDescent="0.3">
      <c r="A306" t="s">
        <v>599</v>
      </c>
      <c r="B306" t="s">
        <v>600</v>
      </c>
      <c r="C306" t="s">
        <v>18</v>
      </c>
      <c r="D306" t="s">
        <v>19</v>
      </c>
      <c r="E306" t="s">
        <v>20</v>
      </c>
      <c r="F306">
        <v>863</v>
      </c>
      <c r="G306">
        <v>183155</v>
      </c>
      <c r="H306">
        <v>2022</v>
      </c>
      <c r="I306">
        <v>9</v>
      </c>
      <c r="J306" t="s">
        <v>581</v>
      </c>
      <c r="K306">
        <v>3</v>
      </c>
      <c r="L306" t="s">
        <v>22</v>
      </c>
      <c r="M306">
        <v>5</v>
      </c>
      <c r="N306" t="b">
        <v>1</v>
      </c>
      <c r="O306" t="b">
        <v>0</v>
      </c>
      <c r="P306">
        <v>183155</v>
      </c>
    </row>
    <row r="307" spans="1:16" x14ac:dyDescent="0.3">
      <c r="A307" t="s">
        <v>601</v>
      </c>
      <c r="B307" t="s">
        <v>602</v>
      </c>
      <c r="C307" t="s">
        <v>18</v>
      </c>
      <c r="D307" t="s">
        <v>19</v>
      </c>
      <c r="E307" t="s">
        <v>20</v>
      </c>
      <c r="F307">
        <v>719</v>
      </c>
      <c r="G307">
        <v>183874</v>
      </c>
      <c r="H307">
        <v>2022</v>
      </c>
      <c r="I307">
        <v>9</v>
      </c>
      <c r="J307" t="s">
        <v>581</v>
      </c>
      <c r="K307">
        <v>3</v>
      </c>
      <c r="L307" t="s">
        <v>25</v>
      </c>
      <c r="M307">
        <v>6</v>
      </c>
      <c r="N307" t="b">
        <v>1</v>
      </c>
      <c r="O307" t="b">
        <v>0</v>
      </c>
      <c r="P307">
        <v>183874</v>
      </c>
    </row>
    <row r="308" spans="1:16" x14ac:dyDescent="0.3">
      <c r="A308" t="s">
        <v>601</v>
      </c>
      <c r="B308" t="s">
        <v>603</v>
      </c>
      <c r="C308" t="s">
        <v>55</v>
      </c>
      <c r="D308" t="s">
        <v>56</v>
      </c>
      <c r="E308" t="s">
        <v>35</v>
      </c>
      <c r="F308">
        <v>146</v>
      </c>
      <c r="G308">
        <v>183728</v>
      </c>
      <c r="H308">
        <v>2022</v>
      </c>
      <c r="I308">
        <v>9</v>
      </c>
      <c r="J308" t="s">
        <v>581</v>
      </c>
      <c r="K308">
        <v>3</v>
      </c>
      <c r="L308" t="s">
        <v>25</v>
      </c>
      <c r="M308">
        <v>6</v>
      </c>
      <c r="N308" t="b">
        <v>0</v>
      </c>
      <c r="O308" t="b">
        <v>1</v>
      </c>
      <c r="P308">
        <v>183728</v>
      </c>
    </row>
    <row r="309" spans="1:16" x14ac:dyDescent="0.3">
      <c r="A309" t="s">
        <v>604</v>
      </c>
      <c r="B309" t="s">
        <v>605</v>
      </c>
      <c r="C309" t="s">
        <v>18</v>
      </c>
      <c r="D309" t="s">
        <v>19</v>
      </c>
      <c r="E309" t="s">
        <v>20</v>
      </c>
      <c r="F309">
        <v>1004</v>
      </c>
      <c r="G309">
        <v>184732</v>
      </c>
      <c r="H309">
        <v>2022</v>
      </c>
      <c r="I309">
        <v>9</v>
      </c>
      <c r="J309" t="s">
        <v>581</v>
      </c>
      <c r="K309">
        <v>3</v>
      </c>
      <c r="L309" t="s">
        <v>28</v>
      </c>
      <c r="M309">
        <v>0</v>
      </c>
      <c r="N309" t="b">
        <v>1</v>
      </c>
      <c r="O309" t="b">
        <v>0</v>
      </c>
      <c r="P309">
        <v>184732</v>
      </c>
    </row>
    <row r="310" spans="1:16" x14ac:dyDescent="0.3">
      <c r="A310" t="s">
        <v>606</v>
      </c>
      <c r="B310" t="s">
        <v>607</v>
      </c>
      <c r="C310" t="s">
        <v>18</v>
      </c>
      <c r="D310" t="s">
        <v>19</v>
      </c>
      <c r="E310" t="s">
        <v>20</v>
      </c>
      <c r="F310">
        <v>1114</v>
      </c>
      <c r="G310">
        <v>185846</v>
      </c>
      <c r="H310">
        <v>2022</v>
      </c>
      <c r="I310">
        <v>9</v>
      </c>
      <c r="J310" t="s">
        <v>581</v>
      </c>
      <c r="K310">
        <v>3</v>
      </c>
      <c r="L310" t="s">
        <v>31</v>
      </c>
      <c r="M310">
        <v>1</v>
      </c>
      <c r="N310" t="b">
        <v>1</v>
      </c>
      <c r="O310" t="b">
        <v>0</v>
      </c>
      <c r="P310">
        <v>185846</v>
      </c>
    </row>
    <row r="311" spans="1:16" x14ac:dyDescent="0.3">
      <c r="A311" t="s">
        <v>608</v>
      </c>
      <c r="B311" t="s">
        <v>609</v>
      </c>
      <c r="C311" t="s">
        <v>18</v>
      </c>
      <c r="D311" t="s">
        <v>19</v>
      </c>
      <c r="E311" t="s">
        <v>20</v>
      </c>
      <c r="F311">
        <v>753</v>
      </c>
      <c r="G311">
        <v>186599</v>
      </c>
      <c r="H311">
        <v>2022</v>
      </c>
      <c r="I311">
        <v>9</v>
      </c>
      <c r="J311" t="s">
        <v>581</v>
      </c>
      <c r="K311">
        <v>3</v>
      </c>
      <c r="L311" t="s">
        <v>38</v>
      </c>
      <c r="M311">
        <v>2</v>
      </c>
      <c r="N311" t="b">
        <v>1</v>
      </c>
      <c r="O311" t="b">
        <v>0</v>
      </c>
      <c r="P311">
        <v>186599</v>
      </c>
    </row>
    <row r="312" spans="1:16" x14ac:dyDescent="0.3">
      <c r="A312" t="s">
        <v>610</v>
      </c>
      <c r="B312" t="s">
        <v>611</v>
      </c>
      <c r="C312" t="s">
        <v>18</v>
      </c>
      <c r="D312" t="s">
        <v>19</v>
      </c>
      <c r="E312" t="s">
        <v>20</v>
      </c>
      <c r="F312">
        <v>843</v>
      </c>
      <c r="G312">
        <v>187442</v>
      </c>
      <c r="H312">
        <v>2022</v>
      </c>
      <c r="I312">
        <v>9</v>
      </c>
      <c r="J312" t="s">
        <v>581</v>
      </c>
      <c r="K312">
        <v>3</v>
      </c>
      <c r="L312" t="s">
        <v>41</v>
      </c>
      <c r="M312">
        <v>3</v>
      </c>
      <c r="N312" t="b">
        <v>1</v>
      </c>
      <c r="O312" t="b">
        <v>0</v>
      </c>
      <c r="P312">
        <v>187442</v>
      </c>
    </row>
    <row r="313" spans="1:16" x14ac:dyDescent="0.3">
      <c r="A313" t="s">
        <v>612</v>
      </c>
      <c r="B313" t="s">
        <v>613</v>
      </c>
      <c r="C313" t="s">
        <v>18</v>
      </c>
      <c r="D313" t="s">
        <v>19</v>
      </c>
      <c r="E313" t="s">
        <v>20</v>
      </c>
      <c r="F313">
        <v>1158</v>
      </c>
      <c r="G313">
        <v>188600</v>
      </c>
      <c r="H313">
        <v>2022</v>
      </c>
      <c r="I313">
        <v>9</v>
      </c>
      <c r="J313" t="s">
        <v>581</v>
      </c>
      <c r="K313">
        <v>3</v>
      </c>
      <c r="L313" t="s">
        <v>44</v>
      </c>
      <c r="M313">
        <v>4</v>
      </c>
      <c r="N313" t="b">
        <v>1</v>
      </c>
      <c r="O313" t="b">
        <v>0</v>
      </c>
      <c r="P313">
        <v>188600</v>
      </c>
    </row>
    <row r="314" spans="1:16" x14ac:dyDescent="0.3">
      <c r="A314" t="s">
        <v>614</v>
      </c>
      <c r="B314" t="s">
        <v>615</v>
      </c>
      <c r="C314" t="s">
        <v>46</v>
      </c>
      <c r="D314" t="s">
        <v>34</v>
      </c>
      <c r="E314" t="s">
        <v>35</v>
      </c>
      <c r="F314">
        <v>457</v>
      </c>
      <c r="G314">
        <v>189066</v>
      </c>
      <c r="H314">
        <v>2022</v>
      </c>
      <c r="I314">
        <v>9</v>
      </c>
      <c r="J314" t="s">
        <v>581</v>
      </c>
      <c r="K314">
        <v>3</v>
      </c>
      <c r="L314" t="s">
        <v>22</v>
      </c>
      <c r="M314">
        <v>5</v>
      </c>
      <c r="N314" t="b">
        <v>0</v>
      </c>
      <c r="O314" t="b">
        <v>1</v>
      </c>
      <c r="P314">
        <v>188143</v>
      </c>
    </row>
    <row r="315" spans="1:16" x14ac:dyDescent="0.3">
      <c r="A315" t="s">
        <v>614</v>
      </c>
      <c r="B315" t="s">
        <v>616</v>
      </c>
      <c r="C315" t="s">
        <v>18</v>
      </c>
      <c r="D315" t="s">
        <v>19</v>
      </c>
      <c r="E315" t="s">
        <v>20</v>
      </c>
      <c r="F315">
        <v>923</v>
      </c>
      <c r="G315">
        <v>189523</v>
      </c>
      <c r="H315">
        <v>2022</v>
      </c>
      <c r="I315">
        <v>9</v>
      </c>
      <c r="J315" t="s">
        <v>581</v>
      </c>
      <c r="K315">
        <v>3</v>
      </c>
      <c r="L315" t="s">
        <v>22</v>
      </c>
      <c r="M315">
        <v>5</v>
      </c>
      <c r="N315" t="b">
        <v>1</v>
      </c>
      <c r="O315" t="b">
        <v>0</v>
      </c>
      <c r="P315">
        <v>189066</v>
      </c>
    </row>
    <row r="316" spans="1:16" x14ac:dyDescent="0.3">
      <c r="A316" t="s">
        <v>617</v>
      </c>
      <c r="B316" t="s">
        <v>618</v>
      </c>
      <c r="C316" t="s">
        <v>18</v>
      </c>
      <c r="D316" t="s">
        <v>19</v>
      </c>
      <c r="E316" t="s">
        <v>20</v>
      </c>
      <c r="F316">
        <v>1107</v>
      </c>
      <c r="G316">
        <v>190173</v>
      </c>
      <c r="H316">
        <v>2022</v>
      </c>
      <c r="I316">
        <v>9</v>
      </c>
      <c r="J316" t="s">
        <v>581</v>
      </c>
      <c r="K316">
        <v>3</v>
      </c>
      <c r="L316" t="s">
        <v>25</v>
      </c>
      <c r="M316">
        <v>6</v>
      </c>
      <c r="N316" t="b">
        <v>1</v>
      </c>
      <c r="O316" t="b">
        <v>0</v>
      </c>
      <c r="P316">
        <v>190173</v>
      </c>
    </row>
    <row r="317" spans="1:16" x14ac:dyDescent="0.3">
      <c r="A317" t="s">
        <v>619</v>
      </c>
      <c r="B317" t="s">
        <v>620</v>
      </c>
      <c r="C317" t="s">
        <v>18</v>
      </c>
      <c r="D317" t="s">
        <v>19</v>
      </c>
      <c r="E317" t="s">
        <v>20</v>
      </c>
      <c r="F317">
        <v>707</v>
      </c>
      <c r="G317">
        <v>190880</v>
      </c>
      <c r="H317">
        <v>2022</v>
      </c>
      <c r="I317">
        <v>9</v>
      </c>
      <c r="J317" t="s">
        <v>581</v>
      </c>
      <c r="K317">
        <v>3</v>
      </c>
      <c r="L317" t="s">
        <v>28</v>
      </c>
      <c r="M317">
        <v>0</v>
      </c>
      <c r="N317" t="b">
        <v>1</v>
      </c>
      <c r="O317" t="b">
        <v>0</v>
      </c>
      <c r="P317">
        <v>190880</v>
      </c>
    </row>
    <row r="318" spans="1:16" x14ac:dyDescent="0.3">
      <c r="A318" t="s">
        <v>619</v>
      </c>
      <c r="B318" t="s">
        <v>621</v>
      </c>
      <c r="C318" t="s">
        <v>88</v>
      </c>
      <c r="D318" t="s">
        <v>56</v>
      </c>
      <c r="E318" t="s">
        <v>35</v>
      </c>
      <c r="F318">
        <v>263</v>
      </c>
      <c r="G318">
        <v>190617</v>
      </c>
      <c r="H318">
        <v>2022</v>
      </c>
      <c r="I318">
        <v>9</v>
      </c>
      <c r="J318" t="s">
        <v>581</v>
      </c>
      <c r="K318">
        <v>3</v>
      </c>
      <c r="L318" t="s">
        <v>28</v>
      </c>
      <c r="M318">
        <v>0</v>
      </c>
      <c r="N318" t="b">
        <v>0</v>
      </c>
      <c r="O318" t="b">
        <v>1</v>
      </c>
      <c r="P318">
        <v>190617</v>
      </c>
    </row>
    <row r="319" spans="1:16" x14ac:dyDescent="0.3">
      <c r="A319" t="s">
        <v>622</v>
      </c>
      <c r="B319" t="s">
        <v>623</v>
      </c>
      <c r="C319" t="s">
        <v>18</v>
      </c>
      <c r="D319" t="s">
        <v>19</v>
      </c>
      <c r="E319" t="s">
        <v>20</v>
      </c>
      <c r="F319">
        <v>835</v>
      </c>
      <c r="G319">
        <v>191452</v>
      </c>
      <c r="H319">
        <v>2022</v>
      </c>
      <c r="I319">
        <v>9</v>
      </c>
      <c r="J319" t="s">
        <v>581</v>
      </c>
      <c r="K319">
        <v>3</v>
      </c>
      <c r="L319" t="s">
        <v>31</v>
      </c>
      <c r="M319">
        <v>1</v>
      </c>
      <c r="N319" t="b">
        <v>1</v>
      </c>
      <c r="O319" t="b">
        <v>0</v>
      </c>
      <c r="P319">
        <v>191452</v>
      </c>
    </row>
    <row r="320" spans="1:16" x14ac:dyDescent="0.3">
      <c r="A320" t="s">
        <v>624</v>
      </c>
      <c r="B320" t="s">
        <v>625</v>
      </c>
      <c r="C320" t="s">
        <v>18</v>
      </c>
      <c r="D320" t="s">
        <v>19</v>
      </c>
      <c r="E320" t="s">
        <v>20</v>
      </c>
      <c r="F320">
        <v>877</v>
      </c>
      <c r="G320">
        <v>192329</v>
      </c>
      <c r="H320">
        <v>2022</v>
      </c>
      <c r="I320">
        <v>9</v>
      </c>
      <c r="J320" t="s">
        <v>581</v>
      </c>
      <c r="K320">
        <v>3</v>
      </c>
      <c r="L320" t="s">
        <v>38</v>
      </c>
      <c r="M320">
        <v>2</v>
      </c>
      <c r="N320" t="b">
        <v>1</v>
      </c>
      <c r="O320" t="b">
        <v>0</v>
      </c>
      <c r="P320">
        <v>192329</v>
      </c>
    </row>
    <row r="321" spans="1:16" x14ac:dyDescent="0.3">
      <c r="A321" t="s">
        <v>626</v>
      </c>
      <c r="B321" t="s">
        <v>627</v>
      </c>
      <c r="C321" t="s">
        <v>18</v>
      </c>
      <c r="D321" t="s">
        <v>19</v>
      </c>
      <c r="E321" t="s">
        <v>20</v>
      </c>
      <c r="F321">
        <v>1056</v>
      </c>
      <c r="G321">
        <v>193385</v>
      </c>
      <c r="H321">
        <v>2022</v>
      </c>
      <c r="I321">
        <v>9</v>
      </c>
      <c r="J321" t="s">
        <v>581</v>
      </c>
      <c r="K321">
        <v>3</v>
      </c>
      <c r="L321" t="s">
        <v>41</v>
      </c>
      <c r="M321">
        <v>3</v>
      </c>
      <c r="N321" t="b">
        <v>1</v>
      </c>
      <c r="O321" t="b">
        <v>0</v>
      </c>
      <c r="P321">
        <v>193385</v>
      </c>
    </row>
    <row r="322" spans="1:16" x14ac:dyDescent="0.3">
      <c r="A322" t="s">
        <v>628</v>
      </c>
      <c r="B322" t="s">
        <v>629</v>
      </c>
      <c r="C322" t="s">
        <v>18</v>
      </c>
      <c r="D322" t="s">
        <v>19</v>
      </c>
      <c r="E322" t="s">
        <v>20</v>
      </c>
      <c r="F322">
        <v>891</v>
      </c>
      <c r="G322">
        <v>194276</v>
      </c>
      <c r="H322">
        <v>2022</v>
      </c>
      <c r="I322">
        <v>9</v>
      </c>
      <c r="J322" t="s">
        <v>581</v>
      </c>
      <c r="K322">
        <v>3</v>
      </c>
      <c r="L322" t="s">
        <v>44</v>
      </c>
      <c r="M322">
        <v>4</v>
      </c>
      <c r="N322" t="b">
        <v>1</v>
      </c>
      <c r="O322" t="b">
        <v>0</v>
      </c>
      <c r="P322">
        <v>194276</v>
      </c>
    </row>
    <row r="323" spans="1:16" x14ac:dyDescent="0.3">
      <c r="A323" t="s">
        <v>630</v>
      </c>
      <c r="B323" t="s">
        <v>631</v>
      </c>
      <c r="C323" t="s">
        <v>18</v>
      </c>
      <c r="D323" t="s">
        <v>19</v>
      </c>
      <c r="E323" t="s">
        <v>20</v>
      </c>
      <c r="F323">
        <v>1146</v>
      </c>
      <c r="G323">
        <v>195422</v>
      </c>
      <c r="H323">
        <v>2022</v>
      </c>
      <c r="I323">
        <v>9</v>
      </c>
      <c r="J323" t="s">
        <v>581</v>
      </c>
      <c r="K323">
        <v>3</v>
      </c>
      <c r="L323" t="s">
        <v>22</v>
      </c>
      <c r="M323">
        <v>5</v>
      </c>
      <c r="N323" t="b">
        <v>1</v>
      </c>
      <c r="O323" t="b">
        <v>0</v>
      </c>
      <c r="P323">
        <v>195422</v>
      </c>
    </row>
    <row r="324" spans="1:16" x14ac:dyDescent="0.3">
      <c r="A324" t="s">
        <v>632</v>
      </c>
      <c r="B324" t="s">
        <v>633</v>
      </c>
      <c r="C324" t="s">
        <v>18</v>
      </c>
      <c r="D324" t="s">
        <v>19</v>
      </c>
      <c r="E324" t="s">
        <v>20</v>
      </c>
      <c r="F324">
        <v>1116</v>
      </c>
      <c r="G324">
        <v>196538</v>
      </c>
      <c r="H324">
        <v>2022</v>
      </c>
      <c r="I324">
        <v>9</v>
      </c>
      <c r="J324" t="s">
        <v>581</v>
      </c>
      <c r="K324">
        <v>3</v>
      </c>
      <c r="L324" t="s">
        <v>25</v>
      </c>
      <c r="M324">
        <v>6</v>
      </c>
      <c r="N324" t="b">
        <v>1</v>
      </c>
      <c r="O324" t="b">
        <v>0</v>
      </c>
      <c r="P324">
        <v>196538</v>
      </c>
    </row>
    <row r="325" spans="1:16" x14ac:dyDescent="0.3">
      <c r="A325" t="s">
        <v>634</v>
      </c>
      <c r="B325" t="s">
        <v>635</v>
      </c>
      <c r="C325" t="s">
        <v>18</v>
      </c>
      <c r="D325" t="s">
        <v>19</v>
      </c>
      <c r="E325" t="s">
        <v>20</v>
      </c>
      <c r="F325">
        <v>1160</v>
      </c>
      <c r="G325">
        <v>197698</v>
      </c>
      <c r="H325">
        <v>2022</v>
      </c>
      <c r="I325">
        <v>9</v>
      </c>
      <c r="J325" t="s">
        <v>581</v>
      </c>
      <c r="K325">
        <v>3</v>
      </c>
      <c r="L325" t="s">
        <v>28</v>
      </c>
      <c r="M325">
        <v>0</v>
      </c>
      <c r="N325" t="b">
        <v>1</v>
      </c>
      <c r="O325" t="b">
        <v>0</v>
      </c>
      <c r="P325">
        <v>197698</v>
      </c>
    </row>
    <row r="326" spans="1:16" x14ac:dyDescent="0.3">
      <c r="A326" t="s">
        <v>636</v>
      </c>
      <c r="B326" t="s">
        <v>637</v>
      </c>
      <c r="C326" t="s">
        <v>137</v>
      </c>
      <c r="D326" t="s">
        <v>34</v>
      </c>
      <c r="E326" t="s">
        <v>35</v>
      </c>
      <c r="F326">
        <v>134</v>
      </c>
      <c r="G326">
        <v>198676</v>
      </c>
      <c r="H326">
        <v>2022</v>
      </c>
      <c r="I326">
        <v>9</v>
      </c>
      <c r="J326" t="s">
        <v>581</v>
      </c>
      <c r="K326">
        <v>3</v>
      </c>
      <c r="L326" t="s">
        <v>31</v>
      </c>
      <c r="M326">
        <v>1</v>
      </c>
      <c r="N326" t="b">
        <v>0</v>
      </c>
      <c r="O326" t="b">
        <v>1</v>
      </c>
      <c r="P326">
        <v>197564</v>
      </c>
    </row>
    <row r="327" spans="1:16" x14ac:dyDescent="0.3">
      <c r="A327" t="s">
        <v>636</v>
      </c>
      <c r="B327" t="s">
        <v>638</v>
      </c>
      <c r="C327" t="s">
        <v>18</v>
      </c>
      <c r="D327" t="s">
        <v>19</v>
      </c>
      <c r="E327" t="s">
        <v>20</v>
      </c>
      <c r="F327">
        <v>1112</v>
      </c>
      <c r="G327">
        <v>198810</v>
      </c>
      <c r="H327">
        <v>2022</v>
      </c>
      <c r="I327">
        <v>9</v>
      </c>
      <c r="J327" t="s">
        <v>581</v>
      </c>
      <c r="K327">
        <v>3</v>
      </c>
      <c r="L327" t="s">
        <v>31</v>
      </c>
      <c r="M327">
        <v>1</v>
      </c>
      <c r="N327" t="b">
        <v>1</v>
      </c>
      <c r="O327" t="b">
        <v>0</v>
      </c>
      <c r="P327">
        <v>198676</v>
      </c>
    </row>
    <row r="328" spans="1:16" x14ac:dyDescent="0.3">
      <c r="A328" t="s">
        <v>639</v>
      </c>
      <c r="B328" t="s">
        <v>640</v>
      </c>
      <c r="C328" t="s">
        <v>18</v>
      </c>
      <c r="D328" t="s">
        <v>19</v>
      </c>
      <c r="E328" t="s">
        <v>20</v>
      </c>
      <c r="F328">
        <v>1089</v>
      </c>
      <c r="G328">
        <v>199765</v>
      </c>
      <c r="H328">
        <v>2022</v>
      </c>
      <c r="I328">
        <v>9</v>
      </c>
      <c r="J328" t="s">
        <v>581</v>
      </c>
      <c r="K328">
        <v>3</v>
      </c>
      <c r="L328" t="s">
        <v>38</v>
      </c>
      <c r="M328">
        <v>2</v>
      </c>
      <c r="N328" t="b">
        <v>1</v>
      </c>
      <c r="O328" t="b">
        <v>0</v>
      </c>
      <c r="P328">
        <v>199765</v>
      </c>
    </row>
    <row r="329" spans="1:16" x14ac:dyDescent="0.3">
      <c r="A329" t="s">
        <v>641</v>
      </c>
      <c r="B329" t="s">
        <v>642</v>
      </c>
      <c r="C329" t="s">
        <v>18</v>
      </c>
      <c r="D329" t="s">
        <v>19</v>
      </c>
      <c r="E329" t="s">
        <v>20</v>
      </c>
      <c r="F329">
        <v>955</v>
      </c>
      <c r="G329">
        <v>200720</v>
      </c>
      <c r="H329">
        <v>2022</v>
      </c>
      <c r="I329">
        <v>9</v>
      </c>
      <c r="J329" t="s">
        <v>581</v>
      </c>
      <c r="K329">
        <v>3</v>
      </c>
      <c r="L329" t="s">
        <v>41</v>
      </c>
      <c r="M329">
        <v>3</v>
      </c>
      <c r="N329" t="b">
        <v>1</v>
      </c>
      <c r="O329" t="b">
        <v>0</v>
      </c>
      <c r="P329">
        <v>200720</v>
      </c>
    </row>
    <row r="330" spans="1:16" x14ac:dyDescent="0.3">
      <c r="A330" t="s">
        <v>643</v>
      </c>
      <c r="B330" t="s">
        <v>644</v>
      </c>
      <c r="C330" t="s">
        <v>18</v>
      </c>
      <c r="D330" t="s">
        <v>19</v>
      </c>
      <c r="E330" t="s">
        <v>20</v>
      </c>
      <c r="F330">
        <v>1108</v>
      </c>
      <c r="G330">
        <v>201828</v>
      </c>
      <c r="H330">
        <v>2022</v>
      </c>
      <c r="I330">
        <v>9</v>
      </c>
      <c r="J330" t="s">
        <v>581</v>
      </c>
      <c r="K330">
        <v>3</v>
      </c>
      <c r="L330" t="s">
        <v>44</v>
      </c>
      <c r="M330">
        <v>4</v>
      </c>
      <c r="N330" t="b">
        <v>1</v>
      </c>
      <c r="O330" t="b">
        <v>0</v>
      </c>
      <c r="P330">
        <v>201828</v>
      </c>
    </row>
    <row r="331" spans="1:16" x14ac:dyDescent="0.3">
      <c r="A331" t="s">
        <v>645</v>
      </c>
      <c r="B331" t="s">
        <v>646</v>
      </c>
      <c r="C331" t="s">
        <v>18</v>
      </c>
      <c r="D331" t="s">
        <v>19</v>
      </c>
      <c r="E331" t="s">
        <v>20</v>
      </c>
      <c r="F331">
        <v>1011</v>
      </c>
      <c r="G331">
        <v>202839</v>
      </c>
      <c r="H331">
        <v>2022</v>
      </c>
      <c r="I331">
        <v>10</v>
      </c>
      <c r="J331" t="s">
        <v>647</v>
      </c>
      <c r="K331">
        <v>4</v>
      </c>
      <c r="L331" t="s">
        <v>22</v>
      </c>
      <c r="M331">
        <v>5</v>
      </c>
      <c r="N331" t="b">
        <v>1</v>
      </c>
      <c r="O331" t="b">
        <v>0</v>
      </c>
      <c r="P331">
        <v>202839</v>
      </c>
    </row>
    <row r="332" spans="1:16" x14ac:dyDescent="0.3">
      <c r="A332" t="s">
        <v>648</v>
      </c>
      <c r="B332" t="s">
        <v>649</v>
      </c>
      <c r="C332" t="s">
        <v>18</v>
      </c>
      <c r="D332" t="s">
        <v>19</v>
      </c>
      <c r="E332" t="s">
        <v>20</v>
      </c>
      <c r="F332">
        <v>950</v>
      </c>
      <c r="G332">
        <v>203789</v>
      </c>
      <c r="H332">
        <v>2022</v>
      </c>
      <c r="I332">
        <v>10</v>
      </c>
      <c r="J332" t="s">
        <v>647</v>
      </c>
      <c r="K332">
        <v>4</v>
      </c>
      <c r="L332" t="s">
        <v>25</v>
      </c>
      <c r="M332">
        <v>6</v>
      </c>
      <c r="N332" t="b">
        <v>1</v>
      </c>
      <c r="O332" t="b">
        <v>0</v>
      </c>
      <c r="P332">
        <v>203789</v>
      </c>
    </row>
    <row r="333" spans="1:16" x14ac:dyDescent="0.3">
      <c r="A333" t="s">
        <v>648</v>
      </c>
      <c r="B333" t="s">
        <v>650</v>
      </c>
      <c r="C333" t="s">
        <v>55</v>
      </c>
      <c r="D333" t="s">
        <v>56</v>
      </c>
      <c r="E333" t="s">
        <v>35</v>
      </c>
      <c r="F333">
        <v>218</v>
      </c>
      <c r="G333">
        <v>203571</v>
      </c>
      <c r="H333">
        <v>2022</v>
      </c>
      <c r="I333">
        <v>10</v>
      </c>
      <c r="J333" t="s">
        <v>647</v>
      </c>
      <c r="K333">
        <v>4</v>
      </c>
      <c r="L333" t="s">
        <v>25</v>
      </c>
      <c r="M333">
        <v>6</v>
      </c>
      <c r="N333" t="b">
        <v>0</v>
      </c>
      <c r="O333" t="b">
        <v>1</v>
      </c>
      <c r="P333">
        <v>203571</v>
      </c>
    </row>
    <row r="334" spans="1:16" x14ac:dyDescent="0.3">
      <c r="A334" t="s">
        <v>651</v>
      </c>
      <c r="B334" t="s">
        <v>652</v>
      </c>
      <c r="C334" t="s">
        <v>18</v>
      </c>
      <c r="D334" t="s">
        <v>19</v>
      </c>
      <c r="E334" t="s">
        <v>20</v>
      </c>
      <c r="F334">
        <v>1073</v>
      </c>
      <c r="G334">
        <v>204644</v>
      </c>
      <c r="H334">
        <v>2022</v>
      </c>
      <c r="I334">
        <v>10</v>
      </c>
      <c r="J334" t="s">
        <v>647</v>
      </c>
      <c r="K334">
        <v>4</v>
      </c>
      <c r="L334" t="s">
        <v>28</v>
      </c>
      <c r="M334">
        <v>0</v>
      </c>
      <c r="N334" t="b">
        <v>1</v>
      </c>
      <c r="O334" t="b">
        <v>0</v>
      </c>
      <c r="P334">
        <v>204644</v>
      </c>
    </row>
    <row r="335" spans="1:16" x14ac:dyDescent="0.3">
      <c r="A335" t="s">
        <v>653</v>
      </c>
      <c r="B335" t="s">
        <v>654</v>
      </c>
      <c r="C335" t="s">
        <v>18</v>
      </c>
      <c r="D335" t="s">
        <v>19</v>
      </c>
      <c r="E335" t="s">
        <v>20</v>
      </c>
      <c r="F335">
        <v>923</v>
      </c>
      <c r="G335">
        <v>205567</v>
      </c>
      <c r="H335">
        <v>2022</v>
      </c>
      <c r="I335">
        <v>10</v>
      </c>
      <c r="J335" t="s">
        <v>647</v>
      </c>
      <c r="K335">
        <v>4</v>
      </c>
      <c r="L335" t="s">
        <v>31</v>
      </c>
      <c r="M335">
        <v>1</v>
      </c>
      <c r="N335" t="b">
        <v>1</v>
      </c>
      <c r="O335" t="b">
        <v>0</v>
      </c>
      <c r="P335">
        <v>205567</v>
      </c>
    </row>
    <row r="336" spans="1:16" x14ac:dyDescent="0.3">
      <c r="A336" t="s">
        <v>655</v>
      </c>
      <c r="B336" t="s">
        <v>656</v>
      </c>
      <c r="C336" t="s">
        <v>18</v>
      </c>
      <c r="D336" t="s">
        <v>19</v>
      </c>
      <c r="E336" t="s">
        <v>20</v>
      </c>
      <c r="F336">
        <v>966</v>
      </c>
      <c r="G336">
        <v>206533</v>
      </c>
      <c r="H336">
        <v>2022</v>
      </c>
      <c r="I336">
        <v>10</v>
      </c>
      <c r="J336" t="s">
        <v>647</v>
      </c>
      <c r="K336">
        <v>4</v>
      </c>
      <c r="L336" t="s">
        <v>38</v>
      </c>
      <c r="M336">
        <v>2</v>
      </c>
      <c r="N336" t="b">
        <v>1</v>
      </c>
      <c r="O336" t="b">
        <v>0</v>
      </c>
      <c r="P336">
        <v>206533</v>
      </c>
    </row>
    <row r="337" spans="1:16" x14ac:dyDescent="0.3">
      <c r="A337" t="s">
        <v>657</v>
      </c>
      <c r="B337" t="s">
        <v>658</v>
      </c>
      <c r="C337" t="s">
        <v>18</v>
      </c>
      <c r="D337" t="s">
        <v>19</v>
      </c>
      <c r="E337" t="s">
        <v>20</v>
      </c>
      <c r="F337">
        <v>762</v>
      </c>
      <c r="G337">
        <v>207295</v>
      </c>
      <c r="H337">
        <v>2022</v>
      </c>
      <c r="I337">
        <v>10</v>
      </c>
      <c r="J337" t="s">
        <v>647</v>
      </c>
      <c r="K337">
        <v>4</v>
      </c>
      <c r="L337" t="s">
        <v>41</v>
      </c>
      <c r="M337">
        <v>3</v>
      </c>
      <c r="N337" t="b">
        <v>1</v>
      </c>
      <c r="O337" t="b">
        <v>0</v>
      </c>
      <c r="P337">
        <v>207295</v>
      </c>
    </row>
    <row r="338" spans="1:16" x14ac:dyDescent="0.3">
      <c r="A338" t="s">
        <v>659</v>
      </c>
      <c r="B338" t="s">
        <v>660</v>
      </c>
      <c r="C338" t="s">
        <v>18</v>
      </c>
      <c r="D338" t="s">
        <v>19</v>
      </c>
      <c r="E338" t="s">
        <v>20</v>
      </c>
      <c r="F338">
        <v>1014</v>
      </c>
      <c r="G338">
        <v>208309</v>
      </c>
      <c r="H338">
        <v>2022</v>
      </c>
      <c r="I338">
        <v>10</v>
      </c>
      <c r="J338" t="s">
        <v>647</v>
      </c>
      <c r="K338">
        <v>4</v>
      </c>
      <c r="L338" t="s">
        <v>44</v>
      </c>
      <c r="M338">
        <v>4</v>
      </c>
      <c r="N338" t="b">
        <v>1</v>
      </c>
      <c r="O338" t="b">
        <v>0</v>
      </c>
      <c r="P338">
        <v>208309</v>
      </c>
    </row>
    <row r="339" spans="1:16" x14ac:dyDescent="0.3">
      <c r="A339" t="s">
        <v>661</v>
      </c>
      <c r="B339" t="s">
        <v>662</v>
      </c>
      <c r="C339" t="s">
        <v>18</v>
      </c>
      <c r="D339" t="s">
        <v>19</v>
      </c>
      <c r="E339" t="s">
        <v>20</v>
      </c>
      <c r="F339">
        <v>1160</v>
      </c>
      <c r="G339">
        <v>209469</v>
      </c>
      <c r="H339">
        <v>2022</v>
      </c>
      <c r="I339">
        <v>10</v>
      </c>
      <c r="J339" t="s">
        <v>647</v>
      </c>
      <c r="K339">
        <v>4</v>
      </c>
      <c r="L339" t="s">
        <v>22</v>
      </c>
      <c r="M339">
        <v>5</v>
      </c>
      <c r="N339" t="b">
        <v>1</v>
      </c>
      <c r="O339" t="b">
        <v>0</v>
      </c>
      <c r="P339">
        <v>209469</v>
      </c>
    </row>
    <row r="340" spans="1:16" x14ac:dyDescent="0.3">
      <c r="A340" t="s">
        <v>661</v>
      </c>
      <c r="B340" t="s">
        <v>663</v>
      </c>
      <c r="C340" t="s">
        <v>33</v>
      </c>
      <c r="D340" t="s">
        <v>34</v>
      </c>
      <c r="E340" t="s">
        <v>35</v>
      </c>
      <c r="F340">
        <v>204</v>
      </c>
      <c r="G340">
        <v>209265</v>
      </c>
      <c r="H340">
        <v>2022</v>
      </c>
      <c r="I340">
        <v>10</v>
      </c>
      <c r="J340" t="s">
        <v>647</v>
      </c>
      <c r="K340">
        <v>4</v>
      </c>
      <c r="L340" t="s">
        <v>22</v>
      </c>
      <c r="M340">
        <v>5</v>
      </c>
      <c r="N340" t="b">
        <v>0</v>
      </c>
      <c r="O340" t="b">
        <v>1</v>
      </c>
      <c r="P340">
        <v>209265</v>
      </c>
    </row>
    <row r="341" spans="1:16" x14ac:dyDescent="0.3">
      <c r="A341" t="s">
        <v>664</v>
      </c>
      <c r="B341" t="s">
        <v>665</v>
      </c>
      <c r="C341" t="s">
        <v>46</v>
      </c>
      <c r="D341" t="s">
        <v>34</v>
      </c>
      <c r="E341" t="s">
        <v>35</v>
      </c>
      <c r="F341">
        <v>410</v>
      </c>
      <c r="G341">
        <v>209939</v>
      </c>
      <c r="H341">
        <v>2022</v>
      </c>
      <c r="I341">
        <v>10</v>
      </c>
      <c r="J341" t="s">
        <v>647</v>
      </c>
      <c r="K341">
        <v>4</v>
      </c>
      <c r="L341" t="s">
        <v>25</v>
      </c>
      <c r="M341">
        <v>6</v>
      </c>
      <c r="N341" t="b">
        <v>0</v>
      </c>
      <c r="O341" t="b">
        <v>1</v>
      </c>
      <c r="P341">
        <v>208855</v>
      </c>
    </row>
    <row r="342" spans="1:16" x14ac:dyDescent="0.3">
      <c r="A342" t="s">
        <v>664</v>
      </c>
      <c r="B342" t="s">
        <v>666</v>
      </c>
      <c r="C342" t="s">
        <v>18</v>
      </c>
      <c r="D342" t="s">
        <v>19</v>
      </c>
      <c r="E342" t="s">
        <v>20</v>
      </c>
      <c r="F342">
        <v>1084</v>
      </c>
      <c r="G342">
        <v>210349</v>
      </c>
      <c r="H342">
        <v>2022</v>
      </c>
      <c r="I342">
        <v>10</v>
      </c>
      <c r="J342" t="s">
        <v>647</v>
      </c>
      <c r="K342">
        <v>4</v>
      </c>
      <c r="L342" t="s">
        <v>25</v>
      </c>
      <c r="M342">
        <v>6</v>
      </c>
      <c r="N342" t="b">
        <v>1</v>
      </c>
      <c r="O342" t="b">
        <v>0</v>
      </c>
      <c r="P342">
        <v>209939</v>
      </c>
    </row>
    <row r="343" spans="1:16" x14ac:dyDescent="0.3">
      <c r="A343" t="s">
        <v>667</v>
      </c>
      <c r="B343" t="s">
        <v>668</v>
      </c>
      <c r="C343" t="s">
        <v>18</v>
      </c>
      <c r="D343" t="s">
        <v>19</v>
      </c>
      <c r="E343" t="s">
        <v>20</v>
      </c>
      <c r="F343">
        <v>1164</v>
      </c>
      <c r="G343">
        <v>211103</v>
      </c>
      <c r="H343">
        <v>2022</v>
      </c>
      <c r="I343">
        <v>10</v>
      </c>
      <c r="J343" t="s">
        <v>647</v>
      </c>
      <c r="K343">
        <v>4</v>
      </c>
      <c r="L343" t="s">
        <v>28</v>
      </c>
      <c r="M343">
        <v>0</v>
      </c>
      <c r="N343" t="b">
        <v>1</v>
      </c>
      <c r="O343" t="b">
        <v>0</v>
      </c>
      <c r="P343">
        <v>211103</v>
      </c>
    </row>
    <row r="344" spans="1:16" x14ac:dyDescent="0.3">
      <c r="A344" t="s">
        <v>669</v>
      </c>
      <c r="B344" t="s">
        <v>670</v>
      </c>
      <c r="C344" t="s">
        <v>18</v>
      </c>
      <c r="D344" t="s">
        <v>19</v>
      </c>
      <c r="E344" t="s">
        <v>20</v>
      </c>
      <c r="F344">
        <v>832</v>
      </c>
      <c r="G344">
        <v>211935</v>
      </c>
      <c r="H344">
        <v>2022</v>
      </c>
      <c r="I344">
        <v>10</v>
      </c>
      <c r="J344" t="s">
        <v>647</v>
      </c>
      <c r="K344">
        <v>4</v>
      </c>
      <c r="L344" t="s">
        <v>31</v>
      </c>
      <c r="M344">
        <v>1</v>
      </c>
      <c r="N344" t="b">
        <v>1</v>
      </c>
      <c r="O344" t="b">
        <v>0</v>
      </c>
      <c r="P344">
        <v>211935</v>
      </c>
    </row>
    <row r="345" spans="1:16" x14ac:dyDescent="0.3">
      <c r="A345" t="s">
        <v>671</v>
      </c>
      <c r="B345" t="s">
        <v>672</v>
      </c>
      <c r="C345" t="s">
        <v>18</v>
      </c>
      <c r="D345" t="s">
        <v>19</v>
      </c>
      <c r="E345" t="s">
        <v>20</v>
      </c>
      <c r="F345">
        <v>1136</v>
      </c>
      <c r="G345">
        <v>213071</v>
      </c>
      <c r="H345">
        <v>2022</v>
      </c>
      <c r="I345">
        <v>10</v>
      </c>
      <c r="J345" t="s">
        <v>647</v>
      </c>
      <c r="K345">
        <v>4</v>
      </c>
      <c r="L345" t="s">
        <v>38</v>
      </c>
      <c r="M345">
        <v>2</v>
      </c>
      <c r="N345" t="b">
        <v>1</v>
      </c>
      <c r="O345" t="b">
        <v>0</v>
      </c>
      <c r="P345">
        <v>213071</v>
      </c>
    </row>
    <row r="346" spans="1:16" x14ac:dyDescent="0.3">
      <c r="A346" t="s">
        <v>673</v>
      </c>
      <c r="B346" t="s">
        <v>674</v>
      </c>
      <c r="C346" t="s">
        <v>18</v>
      </c>
      <c r="D346" t="s">
        <v>19</v>
      </c>
      <c r="E346" t="s">
        <v>20</v>
      </c>
      <c r="F346">
        <v>752</v>
      </c>
      <c r="G346">
        <v>213823</v>
      </c>
      <c r="H346">
        <v>2022</v>
      </c>
      <c r="I346">
        <v>10</v>
      </c>
      <c r="J346" t="s">
        <v>647</v>
      </c>
      <c r="K346">
        <v>4</v>
      </c>
      <c r="L346" t="s">
        <v>41</v>
      </c>
      <c r="M346">
        <v>3</v>
      </c>
      <c r="N346" t="b">
        <v>1</v>
      </c>
      <c r="O346" t="b">
        <v>0</v>
      </c>
      <c r="P346">
        <v>213823</v>
      </c>
    </row>
    <row r="347" spans="1:16" x14ac:dyDescent="0.3">
      <c r="A347" t="s">
        <v>675</v>
      </c>
      <c r="B347" t="s">
        <v>676</v>
      </c>
      <c r="C347" t="s">
        <v>18</v>
      </c>
      <c r="D347" t="s">
        <v>19</v>
      </c>
      <c r="E347" t="s">
        <v>20</v>
      </c>
      <c r="F347">
        <v>1157</v>
      </c>
      <c r="G347">
        <v>214980</v>
      </c>
      <c r="H347">
        <v>2022</v>
      </c>
      <c r="I347">
        <v>10</v>
      </c>
      <c r="J347" t="s">
        <v>647</v>
      </c>
      <c r="K347">
        <v>4</v>
      </c>
      <c r="L347" t="s">
        <v>44</v>
      </c>
      <c r="M347">
        <v>4</v>
      </c>
      <c r="N347" t="b">
        <v>1</v>
      </c>
      <c r="O347" t="b">
        <v>0</v>
      </c>
      <c r="P347">
        <v>214980</v>
      </c>
    </row>
    <row r="348" spans="1:16" x14ac:dyDescent="0.3">
      <c r="A348" t="s">
        <v>677</v>
      </c>
      <c r="B348" t="s">
        <v>678</v>
      </c>
      <c r="C348" t="s">
        <v>18</v>
      </c>
      <c r="D348" t="s">
        <v>19</v>
      </c>
      <c r="E348" t="s">
        <v>20</v>
      </c>
      <c r="F348">
        <v>784</v>
      </c>
      <c r="G348">
        <v>215764</v>
      </c>
      <c r="H348">
        <v>2022</v>
      </c>
      <c r="I348">
        <v>10</v>
      </c>
      <c r="J348" t="s">
        <v>647</v>
      </c>
      <c r="K348">
        <v>4</v>
      </c>
      <c r="L348" t="s">
        <v>22</v>
      </c>
      <c r="M348">
        <v>5</v>
      </c>
      <c r="N348" t="b">
        <v>1</v>
      </c>
      <c r="O348" t="b">
        <v>0</v>
      </c>
      <c r="P348">
        <v>215764</v>
      </c>
    </row>
    <row r="349" spans="1:16" x14ac:dyDescent="0.3">
      <c r="A349" t="s">
        <v>679</v>
      </c>
      <c r="B349" t="s">
        <v>680</v>
      </c>
      <c r="C349" t="s">
        <v>18</v>
      </c>
      <c r="D349" t="s">
        <v>19</v>
      </c>
      <c r="E349" t="s">
        <v>20</v>
      </c>
      <c r="F349">
        <v>1065</v>
      </c>
      <c r="G349">
        <v>216829</v>
      </c>
      <c r="H349">
        <v>2022</v>
      </c>
      <c r="I349">
        <v>10</v>
      </c>
      <c r="J349" t="s">
        <v>647</v>
      </c>
      <c r="K349">
        <v>4</v>
      </c>
      <c r="L349" t="s">
        <v>25</v>
      </c>
      <c r="M349">
        <v>6</v>
      </c>
      <c r="N349" t="b">
        <v>1</v>
      </c>
      <c r="O349" t="b">
        <v>0</v>
      </c>
      <c r="P349">
        <v>216829</v>
      </c>
    </row>
    <row r="350" spans="1:16" x14ac:dyDescent="0.3">
      <c r="A350" t="s">
        <v>681</v>
      </c>
      <c r="B350" t="s">
        <v>682</v>
      </c>
      <c r="C350" t="s">
        <v>18</v>
      </c>
      <c r="D350" t="s">
        <v>19</v>
      </c>
      <c r="E350" t="s">
        <v>20</v>
      </c>
      <c r="F350">
        <v>872</v>
      </c>
      <c r="G350">
        <v>217701</v>
      </c>
      <c r="H350">
        <v>2022</v>
      </c>
      <c r="I350">
        <v>10</v>
      </c>
      <c r="J350" t="s">
        <v>647</v>
      </c>
      <c r="K350">
        <v>4</v>
      </c>
      <c r="L350" t="s">
        <v>28</v>
      </c>
      <c r="M350">
        <v>0</v>
      </c>
      <c r="N350" t="b">
        <v>1</v>
      </c>
      <c r="O350" t="b">
        <v>0</v>
      </c>
      <c r="P350">
        <v>217701</v>
      </c>
    </row>
    <row r="351" spans="1:16" x14ac:dyDescent="0.3">
      <c r="A351" t="s">
        <v>683</v>
      </c>
      <c r="B351" t="s">
        <v>684</v>
      </c>
      <c r="C351" t="s">
        <v>18</v>
      </c>
      <c r="D351" t="s">
        <v>19</v>
      </c>
      <c r="E351" t="s">
        <v>20</v>
      </c>
      <c r="F351">
        <v>1145</v>
      </c>
      <c r="G351">
        <v>218846</v>
      </c>
      <c r="H351">
        <v>2022</v>
      </c>
      <c r="I351">
        <v>10</v>
      </c>
      <c r="J351" t="s">
        <v>647</v>
      </c>
      <c r="K351">
        <v>4</v>
      </c>
      <c r="L351" t="s">
        <v>31</v>
      </c>
      <c r="M351">
        <v>1</v>
      </c>
      <c r="N351" t="b">
        <v>1</v>
      </c>
      <c r="O351" t="b">
        <v>0</v>
      </c>
      <c r="P351">
        <v>218846</v>
      </c>
    </row>
    <row r="352" spans="1:16" x14ac:dyDescent="0.3">
      <c r="A352" t="s">
        <v>685</v>
      </c>
      <c r="B352" t="s">
        <v>686</v>
      </c>
      <c r="C352" t="s">
        <v>18</v>
      </c>
      <c r="D352" t="s">
        <v>19</v>
      </c>
      <c r="E352" t="s">
        <v>20</v>
      </c>
      <c r="F352">
        <v>1187</v>
      </c>
      <c r="G352">
        <v>220033</v>
      </c>
      <c r="H352">
        <v>2022</v>
      </c>
      <c r="I352">
        <v>10</v>
      </c>
      <c r="J352" t="s">
        <v>647</v>
      </c>
      <c r="K352">
        <v>4</v>
      </c>
      <c r="L352" t="s">
        <v>38</v>
      </c>
      <c r="M352">
        <v>2</v>
      </c>
      <c r="N352" t="b">
        <v>1</v>
      </c>
      <c r="O352" t="b">
        <v>0</v>
      </c>
      <c r="P352">
        <v>220033</v>
      </c>
    </row>
    <row r="353" spans="1:16" x14ac:dyDescent="0.3">
      <c r="A353" t="s">
        <v>687</v>
      </c>
      <c r="B353" t="s">
        <v>688</v>
      </c>
      <c r="C353" t="s">
        <v>18</v>
      </c>
      <c r="D353" t="s">
        <v>19</v>
      </c>
      <c r="E353" t="s">
        <v>20</v>
      </c>
      <c r="F353">
        <v>1047</v>
      </c>
      <c r="G353">
        <v>221080</v>
      </c>
      <c r="H353">
        <v>2022</v>
      </c>
      <c r="I353">
        <v>10</v>
      </c>
      <c r="J353" t="s">
        <v>647</v>
      </c>
      <c r="K353">
        <v>4</v>
      </c>
      <c r="L353" t="s">
        <v>41</v>
      </c>
      <c r="M353">
        <v>3</v>
      </c>
      <c r="N353" t="b">
        <v>1</v>
      </c>
      <c r="O353" t="b">
        <v>0</v>
      </c>
      <c r="P353">
        <v>221080</v>
      </c>
    </row>
    <row r="354" spans="1:16" x14ac:dyDescent="0.3">
      <c r="A354" t="s">
        <v>689</v>
      </c>
      <c r="B354" t="s">
        <v>690</v>
      </c>
      <c r="C354" t="s">
        <v>18</v>
      </c>
      <c r="D354" t="s">
        <v>19</v>
      </c>
      <c r="E354" t="s">
        <v>20</v>
      </c>
      <c r="F354">
        <v>738</v>
      </c>
      <c r="G354">
        <v>221818</v>
      </c>
      <c r="H354">
        <v>2022</v>
      </c>
      <c r="I354">
        <v>10</v>
      </c>
      <c r="J354" t="s">
        <v>647</v>
      </c>
      <c r="K354">
        <v>4</v>
      </c>
      <c r="L354" t="s">
        <v>44</v>
      </c>
      <c r="M354">
        <v>4</v>
      </c>
      <c r="N354" t="b">
        <v>1</v>
      </c>
      <c r="O354" t="b">
        <v>0</v>
      </c>
      <c r="P354">
        <v>221818</v>
      </c>
    </row>
    <row r="355" spans="1:16" x14ac:dyDescent="0.3">
      <c r="A355" t="s">
        <v>691</v>
      </c>
      <c r="B355" t="s">
        <v>692</v>
      </c>
      <c r="C355" t="s">
        <v>18</v>
      </c>
      <c r="D355" t="s">
        <v>19</v>
      </c>
      <c r="E355" t="s">
        <v>20</v>
      </c>
      <c r="F355">
        <v>861</v>
      </c>
      <c r="G355">
        <v>222679</v>
      </c>
      <c r="H355">
        <v>2022</v>
      </c>
      <c r="I355">
        <v>10</v>
      </c>
      <c r="J355" t="s">
        <v>647</v>
      </c>
      <c r="K355">
        <v>4</v>
      </c>
      <c r="L355" t="s">
        <v>22</v>
      </c>
      <c r="M355">
        <v>5</v>
      </c>
      <c r="N355" t="b">
        <v>1</v>
      </c>
      <c r="O355" t="b">
        <v>0</v>
      </c>
      <c r="P355">
        <v>222679</v>
      </c>
    </row>
    <row r="356" spans="1:16" x14ac:dyDescent="0.3">
      <c r="A356" t="s">
        <v>693</v>
      </c>
      <c r="B356" t="s">
        <v>694</v>
      </c>
      <c r="C356" t="s">
        <v>18</v>
      </c>
      <c r="D356" t="s">
        <v>19</v>
      </c>
      <c r="E356" t="s">
        <v>20</v>
      </c>
      <c r="F356">
        <v>958</v>
      </c>
      <c r="G356">
        <v>223637</v>
      </c>
      <c r="H356">
        <v>2022</v>
      </c>
      <c r="I356">
        <v>10</v>
      </c>
      <c r="J356" t="s">
        <v>647</v>
      </c>
      <c r="K356">
        <v>4</v>
      </c>
      <c r="L356" t="s">
        <v>25</v>
      </c>
      <c r="M356">
        <v>6</v>
      </c>
      <c r="N356" t="b">
        <v>1</v>
      </c>
      <c r="O356" t="b">
        <v>0</v>
      </c>
      <c r="P356">
        <v>223637</v>
      </c>
    </row>
    <row r="357" spans="1:16" x14ac:dyDescent="0.3">
      <c r="A357" t="s">
        <v>695</v>
      </c>
      <c r="B357" t="s">
        <v>696</v>
      </c>
      <c r="C357" t="s">
        <v>18</v>
      </c>
      <c r="D357" t="s">
        <v>19</v>
      </c>
      <c r="E357" t="s">
        <v>20</v>
      </c>
      <c r="F357">
        <v>967</v>
      </c>
      <c r="G357">
        <v>224604</v>
      </c>
      <c r="H357">
        <v>2022</v>
      </c>
      <c r="I357">
        <v>10</v>
      </c>
      <c r="J357" t="s">
        <v>647</v>
      </c>
      <c r="K357">
        <v>4</v>
      </c>
      <c r="L357" t="s">
        <v>28</v>
      </c>
      <c r="M357">
        <v>0</v>
      </c>
      <c r="N357" t="b">
        <v>1</v>
      </c>
      <c r="O357" t="b">
        <v>0</v>
      </c>
      <c r="P357">
        <v>224604</v>
      </c>
    </row>
    <row r="358" spans="1:16" x14ac:dyDescent="0.3">
      <c r="A358" t="s">
        <v>697</v>
      </c>
      <c r="B358" t="s">
        <v>698</v>
      </c>
      <c r="C358" t="s">
        <v>18</v>
      </c>
      <c r="D358" t="s">
        <v>19</v>
      </c>
      <c r="E358" t="s">
        <v>20</v>
      </c>
      <c r="F358">
        <v>935</v>
      </c>
      <c r="G358">
        <v>225539</v>
      </c>
      <c r="H358">
        <v>2022</v>
      </c>
      <c r="I358">
        <v>10</v>
      </c>
      <c r="J358" t="s">
        <v>647</v>
      </c>
      <c r="K358">
        <v>4</v>
      </c>
      <c r="L358" t="s">
        <v>31</v>
      </c>
      <c r="M358">
        <v>1</v>
      </c>
      <c r="N358" t="b">
        <v>1</v>
      </c>
      <c r="O358" t="b">
        <v>0</v>
      </c>
      <c r="P358">
        <v>225539</v>
      </c>
    </row>
    <row r="359" spans="1:16" x14ac:dyDescent="0.3">
      <c r="A359" t="s">
        <v>699</v>
      </c>
      <c r="B359" t="s">
        <v>700</v>
      </c>
      <c r="C359" t="s">
        <v>18</v>
      </c>
      <c r="D359" t="s">
        <v>19</v>
      </c>
      <c r="E359" t="s">
        <v>20</v>
      </c>
      <c r="F359">
        <v>921</v>
      </c>
      <c r="G359">
        <v>226460</v>
      </c>
      <c r="H359">
        <v>2022</v>
      </c>
      <c r="I359">
        <v>10</v>
      </c>
      <c r="J359" t="s">
        <v>647</v>
      </c>
      <c r="K359">
        <v>4</v>
      </c>
      <c r="L359" t="s">
        <v>38</v>
      </c>
      <c r="M359">
        <v>2</v>
      </c>
      <c r="N359" t="b">
        <v>1</v>
      </c>
      <c r="O359" t="b">
        <v>0</v>
      </c>
      <c r="P359">
        <v>226460</v>
      </c>
    </row>
    <row r="360" spans="1:16" x14ac:dyDescent="0.3">
      <c r="A360" t="s">
        <v>701</v>
      </c>
      <c r="B360" t="s">
        <v>702</v>
      </c>
      <c r="C360" t="s">
        <v>18</v>
      </c>
      <c r="D360" t="s">
        <v>19</v>
      </c>
      <c r="E360" t="s">
        <v>20</v>
      </c>
      <c r="F360">
        <v>1100</v>
      </c>
      <c r="G360">
        <v>227560</v>
      </c>
      <c r="H360">
        <v>2022</v>
      </c>
      <c r="I360">
        <v>10</v>
      </c>
      <c r="J360" t="s">
        <v>647</v>
      </c>
      <c r="K360">
        <v>4</v>
      </c>
      <c r="L360" t="s">
        <v>41</v>
      </c>
      <c r="M360">
        <v>3</v>
      </c>
      <c r="N360" t="b">
        <v>1</v>
      </c>
      <c r="O360" t="b">
        <v>0</v>
      </c>
      <c r="P360">
        <v>227560</v>
      </c>
    </row>
    <row r="361" spans="1:16" x14ac:dyDescent="0.3">
      <c r="A361" t="s">
        <v>701</v>
      </c>
      <c r="B361" t="s">
        <v>703</v>
      </c>
      <c r="C361" t="s">
        <v>137</v>
      </c>
      <c r="D361" t="s">
        <v>34</v>
      </c>
      <c r="E361" t="s">
        <v>35</v>
      </c>
      <c r="F361">
        <v>402</v>
      </c>
      <c r="G361">
        <v>227158</v>
      </c>
      <c r="H361">
        <v>2022</v>
      </c>
      <c r="I361">
        <v>10</v>
      </c>
      <c r="J361" t="s">
        <v>647</v>
      </c>
      <c r="K361">
        <v>4</v>
      </c>
      <c r="L361" t="s">
        <v>41</v>
      </c>
      <c r="M361">
        <v>3</v>
      </c>
      <c r="N361" t="b">
        <v>0</v>
      </c>
      <c r="O361" t="b">
        <v>1</v>
      </c>
      <c r="P361">
        <v>227158</v>
      </c>
    </row>
    <row r="362" spans="1:16" x14ac:dyDescent="0.3">
      <c r="A362" t="s">
        <v>704</v>
      </c>
      <c r="B362" t="s">
        <v>705</v>
      </c>
      <c r="C362" t="s">
        <v>18</v>
      </c>
      <c r="D362" t="s">
        <v>19</v>
      </c>
      <c r="E362" t="s">
        <v>20</v>
      </c>
      <c r="F362">
        <v>1040</v>
      </c>
      <c r="G362">
        <v>228198</v>
      </c>
      <c r="H362">
        <v>2022</v>
      </c>
      <c r="I362">
        <v>10</v>
      </c>
      <c r="J362" t="s">
        <v>647</v>
      </c>
      <c r="K362">
        <v>4</v>
      </c>
      <c r="L362" t="s">
        <v>44</v>
      </c>
      <c r="M362">
        <v>4</v>
      </c>
      <c r="N362" t="b">
        <v>1</v>
      </c>
      <c r="O362" t="b">
        <v>0</v>
      </c>
      <c r="P362">
        <v>228198</v>
      </c>
    </row>
    <row r="363" spans="1:16" x14ac:dyDescent="0.3">
      <c r="A363" t="s">
        <v>706</v>
      </c>
      <c r="B363" t="s">
        <v>707</v>
      </c>
      <c r="C363" t="s">
        <v>18</v>
      </c>
      <c r="D363" t="s">
        <v>19</v>
      </c>
      <c r="E363" t="s">
        <v>20</v>
      </c>
      <c r="F363">
        <v>774</v>
      </c>
      <c r="G363">
        <v>228972</v>
      </c>
      <c r="H363">
        <v>2022</v>
      </c>
      <c r="I363">
        <v>10</v>
      </c>
      <c r="J363" t="s">
        <v>647</v>
      </c>
      <c r="K363">
        <v>4</v>
      </c>
      <c r="L363" t="s">
        <v>22</v>
      </c>
      <c r="M363">
        <v>5</v>
      </c>
      <c r="N363" t="b">
        <v>1</v>
      </c>
      <c r="O363" t="b">
        <v>0</v>
      </c>
      <c r="P363">
        <v>228972</v>
      </c>
    </row>
    <row r="364" spans="1:16" x14ac:dyDescent="0.3">
      <c r="A364" t="s">
        <v>708</v>
      </c>
      <c r="B364" t="s">
        <v>709</v>
      </c>
      <c r="C364" t="s">
        <v>18</v>
      </c>
      <c r="D364" t="s">
        <v>19</v>
      </c>
      <c r="E364" t="s">
        <v>20</v>
      </c>
      <c r="F364">
        <v>1121</v>
      </c>
      <c r="G364">
        <v>230093</v>
      </c>
      <c r="H364">
        <v>2022</v>
      </c>
      <c r="I364">
        <v>10</v>
      </c>
      <c r="J364" t="s">
        <v>647</v>
      </c>
      <c r="K364">
        <v>4</v>
      </c>
      <c r="L364" t="s">
        <v>25</v>
      </c>
      <c r="M364">
        <v>6</v>
      </c>
      <c r="N364" t="b">
        <v>1</v>
      </c>
      <c r="O364" t="b">
        <v>0</v>
      </c>
      <c r="P364">
        <v>230093</v>
      </c>
    </row>
    <row r="365" spans="1:16" x14ac:dyDescent="0.3">
      <c r="A365" t="s">
        <v>710</v>
      </c>
      <c r="B365" t="s">
        <v>711</v>
      </c>
      <c r="C365" t="s">
        <v>18</v>
      </c>
      <c r="D365" t="s">
        <v>19</v>
      </c>
      <c r="E365" t="s">
        <v>20</v>
      </c>
      <c r="F365">
        <v>925</v>
      </c>
      <c r="G365">
        <v>231018</v>
      </c>
      <c r="H365">
        <v>2022</v>
      </c>
      <c r="I365">
        <v>10</v>
      </c>
      <c r="J365" t="s">
        <v>647</v>
      </c>
      <c r="K365">
        <v>4</v>
      </c>
      <c r="L365" t="s">
        <v>28</v>
      </c>
      <c r="M365">
        <v>0</v>
      </c>
      <c r="N365" t="b">
        <v>1</v>
      </c>
      <c r="O365" t="b">
        <v>0</v>
      </c>
      <c r="P365">
        <v>231018</v>
      </c>
    </row>
    <row r="366" spans="1:16" x14ac:dyDescent="0.3">
      <c r="A366" t="s">
        <v>712</v>
      </c>
      <c r="B366" t="s">
        <v>713</v>
      </c>
      <c r="C366" t="s">
        <v>18</v>
      </c>
      <c r="D366" t="s">
        <v>19</v>
      </c>
      <c r="E366" t="s">
        <v>20</v>
      </c>
      <c r="F366">
        <v>797</v>
      </c>
      <c r="G366">
        <v>231815</v>
      </c>
      <c r="H366">
        <v>2022</v>
      </c>
      <c r="I366">
        <v>11</v>
      </c>
      <c r="J366" t="s">
        <v>714</v>
      </c>
      <c r="K366">
        <v>4</v>
      </c>
      <c r="L366" t="s">
        <v>31</v>
      </c>
      <c r="M366">
        <v>1</v>
      </c>
      <c r="N366" t="b">
        <v>1</v>
      </c>
      <c r="O366" t="b">
        <v>0</v>
      </c>
      <c r="P366">
        <v>231815</v>
      </c>
    </row>
    <row r="367" spans="1:16" x14ac:dyDescent="0.3">
      <c r="A367" t="s">
        <v>715</v>
      </c>
      <c r="B367" t="s">
        <v>716</v>
      </c>
      <c r="C367" t="s">
        <v>18</v>
      </c>
      <c r="D367" t="s">
        <v>19</v>
      </c>
      <c r="E367" t="s">
        <v>20</v>
      </c>
      <c r="F367">
        <v>1034</v>
      </c>
      <c r="G367">
        <v>232849</v>
      </c>
      <c r="H367">
        <v>2022</v>
      </c>
      <c r="I367">
        <v>11</v>
      </c>
      <c r="J367" t="s">
        <v>714</v>
      </c>
      <c r="K367">
        <v>4</v>
      </c>
      <c r="L367" t="s">
        <v>38</v>
      </c>
      <c r="M367">
        <v>2</v>
      </c>
      <c r="N367" t="b">
        <v>1</v>
      </c>
      <c r="O367" t="b">
        <v>0</v>
      </c>
      <c r="P367">
        <v>232849</v>
      </c>
    </row>
    <row r="368" spans="1:16" x14ac:dyDescent="0.3">
      <c r="A368" t="s">
        <v>717</v>
      </c>
      <c r="B368" t="s">
        <v>718</v>
      </c>
      <c r="C368" t="s">
        <v>18</v>
      </c>
      <c r="D368" t="s">
        <v>19</v>
      </c>
      <c r="E368" t="s">
        <v>20</v>
      </c>
      <c r="F368">
        <v>1146</v>
      </c>
      <c r="G368">
        <v>233995</v>
      </c>
      <c r="H368">
        <v>2022</v>
      </c>
      <c r="I368">
        <v>11</v>
      </c>
      <c r="J368" t="s">
        <v>714</v>
      </c>
      <c r="K368">
        <v>4</v>
      </c>
      <c r="L368" t="s">
        <v>41</v>
      </c>
      <c r="M368">
        <v>3</v>
      </c>
      <c r="N368" t="b">
        <v>1</v>
      </c>
      <c r="O368" t="b">
        <v>0</v>
      </c>
      <c r="P368">
        <v>233995</v>
      </c>
    </row>
    <row r="369" spans="1:16" x14ac:dyDescent="0.3">
      <c r="A369" t="s">
        <v>719</v>
      </c>
      <c r="B369" t="s">
        <v>720</v>
      </c>
      <c r="C369" t="s">
        <v>18</v>
      </c>
      <c r="D369" t="s">
        <v>19</v>
      </c>
      <c r="E369" t="s">
        <v>20</v>
      </c>
      <c r="F369">
        <v>948</v>
      </c>
      <c r="G369">
        <v>234943</v>
      </c>
      <c r="H369">
        <v>2022</v>
      </c>
      <c r="I369">
        <v>11</v>
      </c>
      <c r="J369" t="s">
        <v>714</v>
      </c>
      <c r="K369">
        <v>4</v>
      </c>
      <c r="L369" t="s">
        <v>44</v>
      </c>
      <c r="M369">
        <v>4</v>
      </c>
      <c r="N369" t="b">
        <v>1</v>
      </c>
      <c r="O369" t="b">
        <v>0</v>
      </c>
      <c r="P369">
        <v>234943</v>
      </c>
    </row>
    <row r="370" spans="1:16" x14ac:dyDescent="0.3">
      <c r="A370" t="s">
        <v>721</v>
      </c>
      <c r="B370" t="s">
        <v>722</v>
      </c>
      <c r="C370" t="s">
        <v>18</v>
      </c>
      <c r="D370" t="s">
        <v>19</v>
      </c>
      <c r="E370" t="s">
        <v>20</v>
      </c>
      <c r="F370">
        <v>1171</v>
      </c>
      <c r="G370">
        <v>236114</v>
      </c>
      <c r="H370">
        <v>2022</v>
      </c>
      <c r="I370">
        <v>11</v>
      </c>
      <c r="J370" t="s">
        <v>714</v>
      </c>
      <c r="K370">
        <v>4</v>
      </c>
      <c r="L370" t="s">
        <v>22</v>
      </c>
      <c r="M370">
        <v>5</v>
      </c>
      <c r="N370" t="b">
        <v>1</v>
      </c>
      <c r="O370" t="b">
        <v>0</v>
      </c>
      <c r="P370">
        <v>236114</v>
      </c>
    </row>
    <row r="371" spans="1:16" x14ac:dyDescent="0.3">
      <c r="A371" t="s">
        <v>723</v>
      </c>
      <c r="B371" t="s">
        <v>724</v>
      </c>
      <c r="C371" t="s">
        <v>18</v>
      </c>
      <c r="D371" t="s">
        <v>19</v>
      </c>
      <c r="E371" t="s">
        <v>20</v>
      </c>
      <c r="F371">
        <v>729</v>
      </c>
      <c r="G371">
        <v>236843</v>
      </c>
      <c r="H371">
        <v>2022</v>
      </c>
      <c r="I371">
        <v>11</v>
      </c>
      <c r="J371" t="s">
        <v>714</v>
      </c>
      <c r="K371">
        <v>4</v>
      </c>
      <c r="L371" t="s">
        <v>25</v>
      </c>
      <c r="M371">
        <v>6</v>
      </c>
      <c r="N371" t="b">
        <v>1</v>
      </c>
      <c r="O371" t="b">
        <v>0</v>
      </c>
      <c r="P371">
        <v>236843</v>
      </c>
    </row>
    <row r="372" spans="1:16" x14ac:dyDescent="0.3">
      <c r="A372" t="s">
        <v>725</v>
      </c>
      <c r="B372" t="s">
        <v>726</v>
      </c>
      <c r="C372" t="s">
        <v>18</v>
      </c>
      <c r="D372" t="s">
        <v>19</v>
      </c>
      <c r="E372" t="s">
        <v>20</v>
      </c>
      <c r="F372">
        <v>750</v>
      </c>
      <c r="G372">
        <v>237593</v>
      </c>
      <c r="H372">
        <v>2022</v>
      </c>
      <c r="I372">
        <v>11</v>
      </c>
      <c r="J372" t="s">
        <v>714</v>
      </c>
      <c r="K372">
        <v>4</v>
      </c>
      <c r="L372" t="s">
        <v>28</v>
      </c>
      <c r="M372">
        <v>0</v>
      </c>
      <c r="N372" t="b">
        <v>1</v>
      </c>
      <c r="O372" t="b">
        <v>0</v>
      </c>
      <c r="P372">
        <v>237593</v>
      </c>
    </row>
    <row r="373" spans="1:16" x14ac:dyDescent="0.3">
      <c r="A373" t="s">
        <v>727</v>
      </c>
      <c r="B373" t="s">
        <v>728</v>
      </c>
      <c r="C373" t="s">
        <v>18</v>
      </c>
      <c r="D373" t="s">
        <v>19</v>
      </c>
      <c r="E373" t="s">
        <v>20</v>
      </c>
      <c r="F373">
        <v>984</v>
      </c>
      <c r="G373">
        <v>238577</v>
      </c>
      <c r="H373">
        <v>2022</v>
      </c>
      <c r="I373">
        <v>11</v>
      </c>
      <c r="J373" t="s">
        <v>714</v>
      </c>
      <c r="K373">
        <v>4</v>
      </c>
      <c r="L373" t="s">
        <v>31</v>
      </c>
      <c r="M373">
        <v>1</v>
      </c>
      <c r="N373" t="b">
        <v>1</v>
      </c>
      <c r="O373" t="b">
        <v>0</v>
      </c>
      <c r="P373">
        <v>238577</v>
      </c>
    </row>
    <row r="374" spans="1:16" x14ac:dyDescent="0.3">
      <c r="A374" t="s">
        <v>727</v>
      </c>
      <c r="B374" t="s">
        <v>729</v>
      </c>
      <c r="C374" t="s">
        <v>55</v>
      </c>
      <c r="D374" t="s">
        <v>56</v>
      </c>
      <c r="E374" t="s">
        <v>35</v>
      </c>
      <c r="F374">
        <v>283</v>
      </c>
      <c r="G374">
        <v>238294</v>
      </c>
      <c r="H374">
        <v>2022</v>
      </c>
      <c r="I374">
        <v>11</v>
      </c>
      <c r="J374" t="s">
        <v>714</v>
      </c>
      <c r="K374">
        <v>4</v>
      </c>
      <c r="L374" t="s">
        <v>31</v>
      </c>
      <c r="M374">
        <v>1</v>
      </c>
      <c r="N374" t="b">
        <v>0</v>
      </c>
      <c r="O374" t="b">
        <v>1</v>
      </c>
      <c r="P374">
        <v>238294</v>
      </c>
    </row>
    <row r="375" spans="1:16" x14ac:dyDescent="0.3">
      <c r="A375" t="s">
        <v>730</v>
      </c>
      <c r="B375" t="s">
        <v>731</v>
      </c>
      <c r="C375" t="s">
        <v>18</v>
      </c>
      <c r="D375" t="s">
        <v>19</v>
      </c>
      <c r="E375" t="s">
        <v>20</v>
      </c>
      <c r="F375">
        <v>1029</v>
      </c>
      <c r="G375">
        <v>239323</v>
      </c>
      <c r="H375">
        <v>2022</v>
      </c>
      <c r="I375">
        <v>11</v>
      </c>
      <c r="J375" t="s">
        <v>714</v>
      </c>
      <c r="K375">
        <v>4</v>
      </c>
      <c r="L375" t="s">
        <v>38</v>
      </c>
      <c r="M375">
        <v>2</v>
      </c>
      <c r="N375" t="b">
        <v>1</v>
      </c>
      <c r="O375" t="b">
        <v>0</v>
      </c>
      <c r="P375">
        <v>239323</v>
      </c>
    </row>
    <row r="376" spans="1:16" x14ac:dyDescent="0.3">
      <c r="A376" t="s">
        <v>732</v>
      </c>
      <c r="B376" t="s">
        <v>733</v>
      </c>
      <c r="C376" t="s">
        <v>18</v>
      </c>
      <c r="D376" t="s">
        <v>19</v>
      </c>
      <c r="E376" t="s">
        <v>20</v>
      </c>
      <c r="F376">
        <v>1039</v>
      </c>
      <c r="G376">
        <v>240362</v>
      </c>
      <c r="H376">
        <v>2022</v>
      </c>
      <c r="I376">
        <v>11</v>
      </c>
      <c r="J376" t="s">
        <v>714</v>
      </c>
      <c r="K376">
        <v>4</v>
      </c>
      <c r="L376" t="s">
        <v>41</v>
      </c>
      <c r="M376">
        <v>3</v>
      </c>
      <c r="N376" t="b">
        <v>1</v>
      </c>
      <c r="O376" t="b">
        <v>0</v>
      </c>
      <c r="P376">
        <v>240362</v>
      </c>
    </row>
    <row r="377" spans="1:16" x14ac:dyDescent="0.3">
      <c r="A377" t="s">
        <v>734</v>
      </c>
      <c r="B377" t="s">
        <v>735</v>
      </c>
      <c r="C377" t="s">
        <v>18</v>
      </c>
      <c r="D377" t="s">
        <v>19</v>
      </c>
      <c r="E377" t="s">
        <v>20</v>
      </c>
      <c r="F377">
        <v>733</v>
      </c>
      <c r="G377">
        <v>241095</v>
      </c>
      <c r="H377">
        <v>2022</v>
      </c>
      <c r="I377">
        <v>11</v>
      </c>
      <c r="J377" t="s">
        <v>714</v>
      </c>
      <c r="K377">
        <v>4</v>
      </c>
      <c r="L377" t="s">
        <v>44</v>
      </c>
      <c r="M377">
        <v>4</v>
      </c>
      <c r="N377" t="b">
        <v>1</v>
      </c>
      <c r="O377" t="b">
        <v>0</v>
      </c>
      <c r="P377">
        <v>241095</v>
      </c>
    </row>
    <row r="378" spans="1:16" x14ac:dyDescent="0.3">
      <c r="A378" t="s">
        <v>736</v>
      </c>
      <c r="B378" t="s">
        <v>737</v>
      </c>
      <c r="C378" t="s">
        <v>18</v>
      </c>
      <c r="D378" t="s">
        <v>19</v>
      </c>
      <c r="E378" t="s">
        <v>20</v>
      </c>
      <c r="F378">
        <v>1149</v>
      </c>
      <c r="G378">
        <v>242244</v>
      </c>
      <c r="H378">
        <v>2022</v>
      </c>
      <c r="I378">
        <v>11</v>
      </c>
      <c r="J378" t="s">
        <v>714</v>
      </c>
      <c r="K378">
        <v>4</v>
      </c>
      <c r="L378" t="s">
        <v>22</v>
      </c>
      <c r="M378">
        <v>5</v>
      </c>
      <c r="N378" t="b">
        <v>1</v>
      </c>
      <c r="O378" t="b">
        <v>0</v>
      </c>
      <c r="P378">
        <v>242244</v>
      </c>
    </row>
    <row r="379" spans="1:16" x14ac:dyDescent="0.3">
      <c r="A379" t="s">
        <v>738</v>
      </c>
      <c r="B379" t="s">
        <v>739</v>
      </c>
      <c r="C379" t="s">
        <v>18</v>
      </c>
      <c r="D379" t="s">
        <v>19</v>
      </c>
      <c r="E379" t="s">
        <v>20</v>
      </c>
      <c r="F379">
        <v>934</v>
      </c>
      <c r="G379">
        <v>243178</v>
      </c>
      <c r="H379">
        <v>2022</v>
      </c>
      <c r="I379">
        <v>11</v>
      </c>
      <c r="J379" t="s">
        <v>714</v>
      </c>
      <c r="K379">
        <v>4</v>
      </c>
      <c r="L379" t="s">
        <v>25</v>
      </c>
      <c r="M379">
        <v>6</v>
      </c>
      <c r="N379" t="b">
        <v>1</v>
      </c>
      <c r="O379" t="b">
        <v>0</v>
      </c>
      <c r="P379">
        <v>243178</v>
      </c>
    </row>
    <row r="380" spans="1:16" x14ac:dyDescent="0.3">
      <c r="A380" t="s">
        <v>740</v>
      </c>
      <c r="B380" t="s">
        <v>741</v>
      </c>
      <c r="C380" t="s">
        <v>18</v>
      </c>
      <c r="D380" t="s">
        <v>19</v>
      </c>
      <c r="E380" t="s">
        <v>20</v>
      </c>
      <c r="F380">
        <v>1158</v>
      </c>
      <c r="G380">
        <v>244336</v>
      </c>
      <c r="H380">
        <v>2022</v>
      </c>
      <c r="I380">
        <v>11</v>
      </c>
      <c r="J380" t="s">
        <v>714</v>
      </c>
      <c r="K380">
        <v>4</v>
      </c>
      <c r="L380" t="s">
        <v>28</v>
      </c>
      <c r="M380">
        <v>0</v>
      </c>
      <c r="N380" t="b">
        <v>1</v>
      </c>
      <c r="O380" t="b">
        <v>0</v>
      </c>
      <c r="P380">
        <v>244336</v>
      </c>
    </row>
    <row r="381" spans="1:16" x14ac:dyDescent="0.3">
      <c r="A381" t="s">
        <v>740</v>
      </c>
      <c r="B381" t="s">
        <v>742</v>
      </c>
      <c r="C381" t="s">
        <v>33</v>
      </c>
      <c r="D381" t="s">
        <v>34</v>
      </c>
      <c r="E381" t="s">
        <v>35</v>
      </c>
      <c r="F381">
        <v>348</v>
      </c>
      <c r="G381">
        <v>243988</v>
      </c>
      <c r="H381">
        <v>2022</v>
      </c>
      <c r="I381">
        <v>11</v>
      </c>
      <c r="J381" t="s">
        <v>714</v>
      </c>
      <c r="K381">
        <v>4</v>
      </c>
      <c r="L381" t="s">
        <v>28</v>
      </c>
      <c r="M381">
        <v>0</v>
      </c>
      <c r="N381" t="b">
        <v>0</v>
      </c>
      <c r="O381" t="b">
        <v>1</v>
      </c>
      <c r="P381">
        <v>243988</v>
      </c>
    </row>
    <row r="382" spans="1:16" x14ac:dyDescent="0.3">
      <c r="A382" t="s">
        <v>743</v>
      </c>
      <c r="B382" t="s">
        <v>744</v>
      </c>
      <c r="C382" t="s">
        <v>18</v>
      </c>
      <c r="D382" t="s">
        <v>19</v>
      </c>
      <c r="E382" t="s">
        <v>20</v>
      </c>
      <c r="F382">
        <v>1073</v>
      </c>
      <c r="G382">
        <v>245061</v>
      </c>
      <c r="H382">
        <v>2022</v>
      </c>
      <c r="I382">
        <v>11</v>
      </c>
      <c r="J382" t="s">
        <v>714</v>
      </c>
      <c r="K382">
        <v>4</v>
      </c>
      <c r="L382" t="s">
        <v>31</v>
      </c>
      <c r="M382">
        <v>1</v>
      </c>
      <c r="N382" t="b">
        <v>1</v>
      </c>
      <c r="O382" t="b">
        <v>0</v>
      </c>
      <c r="P382">
        <v>245061</v>
      </c>
    </row>
    <row r="383" spans="1:16" x14ac:dyDescent="0.3">
      <c r="A383" t="s">
        <v>745</v>
      </c>
      <c r="B383" t="s">
        <v>746</v>
      </c>
      <c r="C383" t="s">
        <v>55</v>
      </c>
      <c r="D383" t="s">
        <v>56</v>
      </c>
      <c r="E383" t="s">
        <v>35</v>
      </c>
      <c r="F383">
        <v>283</v>
      </c>
      <c r="G383">
        <v>245865</v>
      </c>
      <c r="H383">
        <v>2022</v>
      </c>
      <c r="I383">
        <v>11</v>
      </c>
      <c r="J383" t="s">
        <v>714</v>
      </c>
      <c r="K383">
        <v>4</v>
      </c>
      <c r="L383" t="s">
        <v>38</v>
      </c>
      <c r="M383">
        <v>2</v>
      </c>
      <c r="N383" t="b">
        <v>0</v>
      </c>
      <c r="O383" t="b">
        <v>1</v>
      </c>
      <c r="P383">
        <v>244778</v>
      </c>
    </row>
    <row r="384" spans="1:16" x14ac:dyDescent="0.3">
      <c r="A384" t="s">
        <v>745</v>
      </c>
      <c r="B384" t="s">
        <v>747</v>
      </c>
      <c r="C384" t="s">
        <v>18</v>
      </c>
      <c r="D384" t="s">
        <v>19</v>
      </c>
      <c r="E384" t="s">
        <v>20</v>
      </c>
      <c r="F384">
        <v>1087</v>
      </c>
      <c r="G384">
        <v>246148</v>
      </c>
      <c r="H384">
        <v>2022</v>
      </c>
      <c r="I384">
        <v>11</v>
      </c>
      <c r="J384" t="s">
        <v>714</v>
      </c>
      <c r="K384">
        <v>4</v>
      </c>
      <c r="L384" t="s">
        <v>38</v>
      </c>
      <c r="M384">
        <v>2</v>
      </c>
      <c r="N384" t="b">
        <v>1</v>
      </c>
      <c r="O384" t="b">
        <v>0</v>
      </c>
      <c r="P384">
        <v>245865</v>
      </c>
    </row>
    <row r="385" spans="1:16" x14ac:dyDescent="0.3">
      <c r="A385" t="s">
        <v>748</v>
      </c>
      <c r="B385" t="s">
        <v>749</v>
      </c>
      <c r="C385" t="s">
        <v>18</v>
      </c>
      <c r="D385" t="s">
        <v>19</v>
      </c>
      <c r="E385" t="s">
        <v>20</v>
      </c>
      <c r="F385">
        <v>894</v>
      </c>
      <c r="G385">
        <v>246759</v>
      </c>
      <c r="H385">
        <v>2022</v>
      </c>
      <c r="I385">
        <v>11</v>
      </c>
      <c r="J385" t="s">
        <v>714</v>
      </c>
      <c r="K385">
        <v>4</v>
      </c>
      <c r="L385" t="s">
        <v>41</v>
      </c>
      <c r="M385">
        <v>3</v>
      </c>
      <c r="N385" t="b">
        <v>1</v>
      </c>
      <c r="O385" t="b">
        <v>0</v>
      </c>
      <c r="P385">
        <v>246759</v>
      </c>
    </row>
    <row r="386" spans="1:16" x14ac:dyDescent="0.3">
      <c r="A386" t="s">
        <v>750</v>
      </c>
      <c r="B386" t="s">
        <v>751</v>
      </c>
      <c r="C386" t="s">
        <v>18</v>
      </c>
      <c r="D386" t="s">
        <v>19</v>
      </c>
      <c r="E386" t="s">
        <v>20</v>
      </c>
      <c r="F386">
        <v>854</v>
      </c>
      <c r="G386">
        <v>247613</v>
      </c>
      <c r="H386">
        <v>2022</v>
      </c>
      <c r="I386">
        <v>11</v>
      </c>
      <c r="J386" t="s">
        <v>714</v>
      </c>
      <c r="K386">
        <v>4</v>
      </c>
      <c r="L386" t="s">
        <v>44</v>
      </c>
      <c r="M386">
        <v>4</v>
      </c>
      <c r="N386" t="b">
        <v>1</v>
      </c>
      <c r="O386" t="b">
        <v>0</v>
      </c>
      <c r="P386">
        <v>247613</v>
      </c>
    </row>
    <row r="387" spans="1:16" x14ac:dyDescent="0.3">
      <c r="A387" t="s">
        <v>752</v>
      </c>
      <c r="B387" t="s">
        <v>753</v>
      </c>
      <c r="C387" t="s">
        <v>18</v>
      </c>
      <c r="D387" t="s">
        <v>19</v>
      </c>
      <c r="E387" t="s">
        <v>20</v>
      </c>
      <c r="F387">
        <v>1133</v>
      </c>
      <c r="G387">
        <v>248746</v>
      </c>
      <c r="H387">
        <v>2022</v>
      </c>
      <c r="I387">
        <v>11</v>
      </c>
      <c r="J387" t="s">
        <v>714</v>
      </c>
      <c r="K387">
        <v>4</v>
      </c>
      <c r="L387" t="s">
        <v>22</v>
      </c>
      <c r="M387">
        <v>5</v>
      </c>
      <c r="N387" t="b">
        <v>1</v>
      </c>
      <c r="O387" t="b">
        <v>0</v>
      </c>
      <c r="P387">
        <v>248746</v>
      </c>
    </row>
    <row r="388" spans="1:16" x14ac:dyDescent="0.3">
      <c r="A388" t="s">
        <v>754</v>
      </c>
      <c r="B388" t="s">
        <v>755</v>
      </c>
      <c r="C388" t="s">
        <v>18</v>
      </c>
      <c r="D388" t="s">
        <v>19</v>
      </c>
      <c r="E388" t="s">
        <v>20</v>
      </c>
      <c r="F388">
        <v>750</v>
      </c>
      <c r="G388">
        <v>249496</v>
      </c>
      <c r="H388">
        <v>2022</v>
      </c>
      <c r="I388">
        <v>11</v>
      </c>
      <c r="J388" t="s">
        <v>714</v>
      </c>
      <c r="K388">
        <v>4</v>
      </c>
      <c r="L388" t="s">
        <v>25</v>
      </c>
      <c r="M388">
        <v>6</v>
      </c>
      <c r="N388" t="b">
        <v>1</v>
      </c>
      <c r="O388" t="b">
        <v>0</v>
      </c>
      <c r="P388">
        <v>249496</v>
      </c>
    </row>
    <row r="389" spans="1:16" x14ac:dyDescent="0.3">
      <c r="A389" t="s">
        <v>754</v>
      </c>
      <c r="B389" t="s">
        <v>756</v>
      </c>
      <c r="C389" t="s">
        <v>88</v>
      </c>
      <c r="D389" t="s">
        <v>56</v>
      </c>
      <c r="E389" t="s">
        <v>35</v>
      </c>
      <c r="F389">
        <v>104</v>
      </c>
      <c r="G389">
        <v>249392</v>
      </c>
      <c r="H389">
        <v>2022</v>
      </c>
      <c r="I389">
        <v>11</v>
      </c>
      <c r="J389" t="s">
        <v>714</v>
      </c>
      <c r="K389">
        <v>4</v>
      </c>
      <c r="L389" t="s">
        <v>25</v>
      </c>
      <c r="M389">
        <v>6</v>
      </c>
      <c r="N389" t="b">
        <v>0</v>
      </c>
      <c r="O389" t="b">
        <v>1</v>
      </c>
      <c r="P389">
        <v>249392</v>
      </c>
    </row>
    <row r="390" spans="1:16" x14ac:dyDescent="0.3">
      <c r="A390" t="s">
        <v>757</v>
      </c>
      <c r="B390" t="s">
        <v>758</v>
      </c>
      <c r="C390" t="s">
        <v>18</v>
      </c>
      <c r="D390" t="s">
        <v>19</v>
      </c>
      <c r="E390" t="s">
        <v>20</v>
      </c>
      <c r="F390">
        <v>791</v>
      </c>
      <c r="G390">
        <v>250183</v>
      </c>
      <c r="H390">
        <v>2022</v>
      </c>
      <c r="I390">
        <v>11</v>
      </c>
      <c r="J390" t="s">
        <v>714</v>
      </c>
      <c r="K390">
        <v>4</v>
      </c>
      <c r="L390" t="s">
        <v>28</v>
      </c>
      <c r="M390">
        <v>0</v>
      </c>
      <c r="N390" t="b">
        <v>1</v>
      </c>
      <c r="O390" t="b">
        <v>0</v>
      </c>
      <c r="P390">
        <v>250183</v>
      </c>
    </row>
    <row r="391" spans="1:16" x14ac:dyDescent="0.3">
      <c r="A391" t="s">
        <v>759</v>
      </c>
      <c r="B391" t="s">
        <v>760</v>
      </c>
      <c r="C391" t="s">
        <v>18</v>
      </c>
      <c r="D391" t="s">
        <v>19</v>
      </c>
      <c r="E391" t="s">
        <v>20</v>
      </c>
      <c r="F391">
        <v>721</v>
      </c>
      <c r="G391">
        <v>250904</v>
      </c>
      <c r="H391">
        <v>2022</v>
      </c>
      <c r="I391">
        <v>11</v>
      </c>
      <c r="J391" t="s">
        <v>714</v>
      </c>
      <c r="K391">
        <v>4</v>
      </c>
      <c r="L391" t="s">
        <v>31</v>
      </c>
      <c r="M391">
        <v>1</v>
      </c>
      <c r="N391" t="b">
        <v>1</v>
      </c>
      <c r="O391" t="b">
        <v>0</v>
      </c>
      <c r="P391">
        <v>250904</v>
      </c>
    </row>
    <row r="392" spans="1:16" x14ac:dyDescent="0.3">
      <c r="A392" t="s">
        <v>759</v>
      </c>
      <c r="B392" t="s">
        <v>761</v>
      </c>
      <c r="C392" t="s">
        <v>137</v>
      </c>
      <c r="D392" t="s">
        <v>34</v>
      </c>
      <c r="E392" t="s">
        <v>35</v>
      </c>
      <c r="F392">
        <v>100</v>
      </c>
      <c r="G392">
        <v>250804</v>
      </c>
      <c r="H392">
        <v>2022</v>
      </c>
      <c r="I392">
        <v>11</v>
      </c>
      <c r="J392" t="s">
        <v>714</v>
      </c>
      <c r="K392">
        <v>4</v>
      </c>
      <c r="L392" t="s">
        <v>31</v>
      </c>
      <c r="M392">
        <v>1</v>
      </c>
      <c r="N392" t="b">
        <v>0</v>
      </c>
      <c r="O392" t="b">
        <v>1</v>
      </c>
      <c r="P392">
        <v>250804</v>
      </c>
    </row>
    <row r="393" spans="1:16" x14ac:dyDescent="0.3">
      <c r="A393" t="s">
        <v>762</v>
      </c>
      <c r="B393" t="s">
        <v>763</v>
      </c>
      <c r="C393" t="s">
        <v>18</v>
      </c>
      <c r="D393" t="s">
        <v>19</v>
      </c>
      <c r="E393" t="s">
        <v>20</v>
      </c>
      <c r="F393">
        <v>932</v>
      </c>
      <c r="G393">
        <v>251736</v>
      </c>
      <c r="H393">
        <v>2022</v>
      </c>
      <c r="I393">
        <v>11</v>
      </c>
      <c r="J393" t="s">
        <v>714</v>
      </c>
      <c r="K393">
        <v>4</v>
      </c>
      <c r="L393" t="s">
        <v>38</v>
      </c>
      <c r="M393">
        <v>2</v>
      </c>
      <c r="N393" t="b">
        <v>1</v>
      </c>
      <c r="O393" t="b">
        <v>0</v>
      </c>
      <c r="P393">
        <v>251736</v>
      </c>
    </row>
    <row r="394" spans="1:16" x14ac:dyDescent="0.3">
      <c r="A394" t="s">
        <v>764</v>
      </c>
      <c r="B394" t="s">
        <v>765</v>
      </c>
      <c r="C394" t="s">
        <v>18</v>
      </c>
      <c r="D394" t="s">
        <v>19</v>
      </c>
      <c r="E394" t="s">
        <v>20</v>
      </c>
      <c r="F394">
        <v>745</v>
      </c>
      <c r="G394">
        <v>252481</v>
      </c>
      <c r="H394">
        <v>2022</v>
      </c>
      <c r="I394">
        <v>11</v>
      </c>
      <c r="J394" t="s">
        <v>714</v>
      </c>
      <c r="K394">
        <v>4</v>
      </c>
      <c r="L394" t="s">
        <v>41</v>
      </c>
      <c r="M394">
        <v>3</v>
      </c>
      <c r="N394" t="b">
        <v>1</v>
      </c>
      <c r="O394" t="b">
        <v>0</v>
      </c>
      <c r="P394">
        <v>252481</v>
      </c>
    </row>
    <row r="395" spans="1:16" x14ac:dyDescent="0.3">
      <c r="A395" t="s">
        <v>766</v>
      </c>
      <c r="B395" t="s">
        <v>767</v>
      </c>
      <c r="C395" t="s">
        <v>18</v>
      </c>
      <c r="D395" t="s">
        <v>19</v>
      </c>
      <c r="E395" t="s">
        <v>20</v>
      </c>
      <c r="F395">
        <v>777</v>
      </c>
      <c r="G395">
        <v>253258</v>
      </c>
      <c r="H395">
        <v>2022</v>
      </c>
      <c r="I395">
        <v>11</v>
      </c>
      <c r="J395" t="s">
        <v>714</v>
      </c>
      <c r="K395">
        <v>4</v>
      </c>
      <c r="L395" t="s">
        <v>44</v>
      </c>
      <c r="M395">
        <v>4</v>
      </c>
      <c r="N395" t="b">
        <v>1</v>
      </c>
      <c r="O395" t="b">
        <v>0</v>
      </c>
      <c r="P395">
        <v>253258</v>
      </c>
    </row>
    <row r="396" spans="1:16" x14ac:dyDescent="0.3">
      <c r="A396" t="s">
        <v>768</v>
      </c>
      <c r="B396" t="s">
        <v>769</v>
      </c>
      <c r="C396" t="s">
        <v>55</v>
      </c>
      <c r="D396" t="s">
        <v>56</v>
      </c>
      <c r="E396" t="s">
        <v>35</v>
      </c>
      <c r="F396">
        <v>348</v>
      </c>
      <c r="G396">
        <v>254020</v>
      </c>
      <c r="H396">
        <v>2022</v>
      </c>
      <c r="I396">
        <v>11</v>
      </c>
      <c r="J396" t="s">
        <v>714</v>
      </c>
      <c r="K396">
        <v>4</v>
      </c>
      <c r="L396" t="s">
        <v>22</v>
      </c>
      <c r="M396">
        <v>5</v>
      </c>
      <c r="N396" t="b">
        <v>0</v>
      </c>
      <c r="O396" t="b">
        <v>1</v>
      </c>
      <c r="P396">
        <v>252910</v>
      </c>
    </row>
    <row r="397" spans="1:16" x14ac:dyDescent="0.3">
      <c r="A397" t="s">
        <v>768</v>
      </c>
      <c r="B397" t="s">
        <v>770</v>
      </c>
      <c r="C397" t="s">
        <v>18</v>
      </c>
      <c r="D397" t="s">
        <v>19</v>
      </c>
      <c r="E397" t="s">
        <v>20</v>
      </c>
      <c r="F397">
        <v>1110</v>
      </c>
      <c r="G397">
        <v>254368</v>
      </c>
      <c r="H397">
        <v>2022</v>
      </c>
      <c r="I397">
        <v>11</v>
      </c>
      <c r="J397" t="s">
        <v>714</v>
      </c>
      <c r="K397">
        <v>4</v>
      </c>
      <c r="L397" t="s">
        <v>22</v>
      </c>
      <c r="M397">
        <v>5</v>
      </c>
      <c r="N397" t="b">
        <v>1</v>
      </c>
      <c r="O397" t="b">
        <v>0</v>
      </c>
      <c r="P397">
        <v>254020</v>
      </c>
    </row>
    <row r="398" spans="1:16" x14ac:dyDescent="0.3">
      <c r="A398" t="s">
        <v>771</v>
      </c>
      <c r="B398" t="s">
        <v>772</v>
      </c>
      <c r="C398" t="s">
        <v>18</v>
      </c>
      <c r="D398" t="s">
        <v>19</v>
      </c>
      <c r="E398" t="s">
        <v>20</v>
      </c>
      <c r="F398">
        <v>913</v>
      </c>
      <c r="G398">
        <v>254933</v>
      </c>
      <c r="H398">
        <v>2022</v>
      </c>
      <c r="I398">
        <v>11</v>
      </c>
      <c r="J398" t="s">
        <v>714</v>
      </c>
      <c r="K398">
        <v>4</v>
      </c>
      <c r="L398" t="s">
        <v>25</v>
      </c>
      <c r="M398">
        <v>6</v>
      </c>
      <c r="N398" t="b">
        <v>1</v>
      </c>
      <c r="O398" t="b">
        <v>0</v>
      </c>
      <c r="P398">
        <v>254933</v>
      </c>
    </row>
    <row r="399" spans="1:16" x14ac:dyDescent="0.3">
      <c r="A399" t="s">
        <v>771</v>
      </c>
      <c r="B399" t="s">
        <v>773</v>
      </c>
      <c r="C399" t="s">
        <v>33</v>
      </c>
      <c r="D399" t="s">
        <v>34</v>
      </c>
      <c r="E399" t="s">
        <v>35</v>
      </c>
      <c r="F399">
        <v>449</v>
      </c>
      <c r="G399">
        <v>254484</v>
      </c>
      <c r="H399">
        <v>2022</v>
      </c>
      <c r="I399">
        <v>11</v>
      </c>
      <c r="J399" t="s">
        <v>714</v>
      </c>
      <c r="K399">
        <v>4</v>
      </c>
      <c r="L399" t="s">
        <v>25</v>
      </c>
      <c r="M399">
        <v>6</v>
      </c>
      <c r="N399" t="b">
        <v>0</v>
      </c>
      <c r="O399" t="b">
        <v>1</v>
      </c>
      <c r="P399">
        <v>254484</v>
      </c>
    </row>
    <row r="400" spans="1:16" x14ac:dyDescent="0.3">
      <c r="A400" t="s">
        <v>774</v>
      </c>
      <c r="B400" t="s">
        <v>775</v>
      </c>
      <c r="C400" t="s">
        <v>18</v>
      </c>
      <c r="D400" t="s">
        <v>19</v>
      </c>
      <c r="E400" t="s">
        <v>20</v>
      </c>
      <c r="F400">
        <v>1018</v>
      </c>
      <c r="G400">
        <v>255502</v>
      </c>
      <c r="H400">
        <v>2022</v>
      </c>
      <c r="I400">
        <v>11</v>
      </c>
      <c r="J400" t="s">
        <v>714</v>
      </c>
      <c r="K400">
        <v>4</v>
      </c>
      <c r="L400" t="s">
        <v>28</v>
      </c>
      <c r="M400">
        <v>0</v>
      </c>
      <c r="N400" t="b">
        <v>1</v>
      </c>
      <c r="O400" t="b">
        <v>0</v>
      </c>
      <c r="P400">
        <v>255502</v>
      </c>
    </row>
    <row r="401" spans="1:16" x14ac:dyDescent="0.3">
      <c r="A401" t="s">
        <v>776</v>
      </c>
      <c r="B401" t="s">
        <v>777</v>
      </c>
      <c r="C401" t="s">
        <v>18</v>
      </c>
      <c r="D401" t="s">
        <v>19</v>
      </c>
      <c r="E401" t="s">
        <v>20</v>
      </c>
      <c r="F401">
        <v>1036</v>
      </c>
      <c r="G401">
        <v>256538</v>
      </c>
      <c r="H401">
        <v>2022</v>
      </c>
      <c r="I401">
        <v>11</v>
      </c>
      <c r="J401" t="s">
        <v>714</v>
      </c>
      <c r="K401">
        <v>4</v>
      </c>
      <c r="L401" t="s">
        <v>31</v>
      </c>
      <c r="M401">
        <v>1</v>
      </c>
      <c r="N401" t="b">
        <v>1</v>
      </c>
      <c r="O401" t="b">
        <v>0</v>
      </c>
      <c r="P401">
        <v>256538</v>
      </c>
    </row>
    <row r="402" spans="1:16" x14ac:dyDescent="0.3">
      <c r="A402" t="s">
        <v>778</v>
      </c>
      <c r="B402" t="s">
        <v>779</v>
      </c>
      <c r="C402" t="s">
        <v>18</v>
      </c>
      <c r="D402" t="s">
        <v>19</v>
      </c>
      <c r="E402" t="s">
        <v>20</v>
      </c>
      <c r="F402">
        <v>956</v>
      </c>
      <c r="G402">
        <v>257494</v>
      </c>
      <c r="H402">
        <v>2022</v>
      </c>
      <c r="I402">
        <v>11</v>
      </c>
      <c r="J402" t="s">
        <v>714</v>
      </c>
      <c r="K402">
        <v>4</v>
      </c>
      <c r="L402" t="s">
        <v>38</v>
      </c>
      <c r="M402">
        <v>2</v>
      </c>
      <c r="N402" t="b">
        <v>1</v>
      </c>
      <c r="O402" t="b">
        <v>0</v>
      </c>
      <c r="P402">
        <v>257494</v>
      </c>
    </row>
    <row r="403" spans="1:16" x14ac:dyDescent="0.3">
      <c r="A403" t="s">
        <v>778</v>
      </c>
      <c r="B403" t="s">
        <v>780</v>
      </c>
      <c r="C403" t="s">
        <v>137</v>
      </c>
      <c r="D403" t="s">
        <v>34</v>
      </c>
      <c r="E403" t="s">
        <v>35</v>
      </c>
      <c r="F403">
        <v>454</v>
      </c>
      <c r="G403">
        <v>257040</v>
      </c>
      <c r="H403">
        <v>2022</v>
      </c>
      <c r="I403">
        <v>11</v>
      </c>
      <c r="J403" t="s">
        <v>714</v>
      </c>
      <c r="K403">
        <v>4</v>
      </c>
      <c r="L403" t="s">
        <v>38</v>
      </c>
      <c r="M403">
        <v>2</v>
      </c>
      <c r="N403" t="b">
        <v>0</v>
      </c>
      <c r="O403" t="b">
        <v>1</v>
      </c>
      <c r="P403">
        <v>257040</v>
      </c>
    </row>
    <row r="404" spans="1:16" x14ac:dyDescent="0.3">
      <c r="A404" t="s">
        <v>781</v>
      </c>
      <c r="B404" t="s">
        <v>782</v>
      </c>
      <c r="C404" t="s">
        <v>18</v>
      </c>
      <c r="D404" t="s">
        <v>19</v>
      </c>
      <c r="E404" t="s">
        <v>20</v>
      </c>
      <c r="F404">
        <v>879</v>
      </c>
      <c r="G404">
        <v>257919</v>
      </c>
      <c r="H404">
        <v>2022</v>
      </c>
      <c r="I404">
        <v>12</v>
      </c>
      <c r="J404" t="s">
        <v>783</v>
      </c>
      <c r="K404">
        <v>4</v>
      </c>
      <c r="L404" t="s">
        <v>41</v>
      </c>
      <c r="M404">
        <v>3</v>
      </c>
      <c r="N404" t="b">
        <v>1</v>
      </c>
      <c r="O404" t="b">
        <v>0</v>
      </c>
      <c r="P404">
        <v>257919</v>
      </c>
    </row>
    <row r="405" spans="1:16" x14ac:dyDescent="0.3">
      <c r="A405" t="s">
        <v>784</v>
      </c>
      <c r="B405" t="s">
        <v>785</v>
      </c>
      <c r="C405" t="s">
        <v>18</v>
      </c>
      <c r="D405" t="s">
        <v>19</v>
      </c>
      <c r="E405" t="s">
        <v>20</v>
      </c>
      <c r="F405">
        <v>826</v>
      </c>
      <c r="G405">
        <v>258745</v>
      </c>
      <c r="H405">
        <v>2022</v>
      </c>
      <c r="I405">
        <v>12</v>
      </c>
      <c r="J405" t="s">
        <v>783</v>
      </c>
      <c r="K405">
        <v>4</v>
      </c>
      <c r="L405" t="s">
        <v>44</v>
      </c>
      <c r="M405">
        <v>4</v>
      </c>
      <c r="N405" t="b">
        <v>1</v>
      </c>
      <c r="O405" t="b">
        <v>0</v>
      </c>
      <c r="P405">
        <v>258745</v>
      </c>
    </row>
    <row r="406" spans="1:16" x14ac:dyDescent="0.3">
      <c r="A406" t="s">
        <v>786</v>
      </c>
      <c r="B406" t="s">
        <v>787</v>
      </c>
      <c r="C406" t="s">
        <v>18</v>
      </c>
      <c r="D406" t="s">
        <v>19</v>
      </c>
      <c r="E406" t="s">
        <v>20</v>
      </c>
      <c r="F406">
        <v>713</v>
      </c>
      <c r="G406">
        <v>259458</v>
      </c>
      <c r="H406">
        <v>2022</v>
      </c>
      <c r="I406">
        <v>12</v>
      </c>
      <c r="J406" t="s">
        <v>783</v>
      </c>
      <c r="K406">
        <v>4</v>
      </c>
      <c r="L406" t="s">
        <v>22</v>
      </c>
      <c r="M406">
        <v>5</v>
      </c>
      <c r="N406" t="b">
        <v>1</v>
      </c>
      <c r="O406" t="b">
        <v>0</v>
      </c>
      <c r="P406">
        <v>259458</v>
      </c>
    </row>
    <row r="407" spans="1:16" x14ac:dyDescent="0.3">
      <c r="A407" t="s">
        <v>788</v>
      </c>
      <c r="B407" t="s">
        <v>789</v>
      </c>
      <c r="C407" t="s">
        <v>18</v>
      </c>
      <c r="D407" t="s">
        <v>19</v>
      </c>
      <c r="E407" t="s">
        <v>20</v>
      </c>
      <c r="F407">
        <v>1170</v>
      </c>
      <c r="G407">
        <v>260628</v>
      </c>
      <c r="H407">
        <v>2022</v>
      </c>
      <c r="I407">
        <v>12</v>
      </c>
      <c r="J407" t="s">
        <v>783</v>
      </c>
      <c r="K407">
        <v>4</v>
      </c>
      <c r="L407" t="s">
        <v>25</v>
      </c>
      <c r="M407">
        <v>6</v>
      </c>
      <c r="N407" t="b">
        <v>1</v>
      </c>
      <c r="O407" t="b">
        <v>0</v>
      </c>
      <c r="P407">
        <v>260628</v>
      </c>
    </row>
    <row r="408" spans="1:16" x14ac:dyDescent="0.3">
      <c r="A408" t="s">
        <v>790</v>
      </c>
      <c r="B408" t="s">
        <v>791</v>
      </c>
      <c r="C408" t="s">
        <v>18</v>
      </c>
      <c r="D408" t="s">
        <v>19</v>
      </c>
      <c r="E408" t="s">
        <v>20</v>
      </c>
      <c r="F408">
        <v>1085</v>
      </c>
      <c r="G408">
        <v>261713</v>
      </c>
      <c r="H408">
        <v>2022</v>
      </c>
      <c r="I408">
        <v>12</v>
      </c>
      <c r="J408" t="s">
        <v>783</v>
      </c>
      <c r="K408">
        <v>4</v>
      </c>
      <c r="L408" t="s">
        <v>28</v>
      </c>
      <c r="M408">
        <v>0</v>
      </c>
      <c r="N408" t="b">
        <v>1</v>
      </c>
      <c r="O408" t="b">
        <v>0</v>
      </c>
      <c r="P408">
        <v>261713</v>
      </c>
    </row>
    <row r="409" spans="1:16" x14ac:dyDescent="0.3">
      <c r="A409" t="s">
        <v>792</v>
      </c>
      <c r="B409" t="s">
        <v>793</v>
      </c>
      <c r="C409" t="s">
        <v>18</v>
      </c>
      <c r="D409" t="s">
        <v>19</v>
      </c>
      <c r="E409" t="s">
        <v>20</v>
      </c>
      <c r="F409">
        <v>713</v>
      </c>
      <c r="G409">
        <v>262426</v>
      </c>
      <c r="H409">
        <v>2022</v>
      </c>
      <c r="I409">
        <v>12</v>
      </c>
      <c r="J409" t="s">
        <v>783</v>
      </c>
      <c r="K409">
        <v>4</v>
      </c>
      <c r="L409" t="s">
        <v>31</v>
      </c>
      <c r="M409">
        <v>1</v>
      </c>
      <c r="N409" t="b">
        <v>1</v>
      </c>
      <c r="O409" t="b">
        <v>0</v>
      </c>
      <c r="P409">
        <v>262426</v>
      </c>
    </row>
    <row r="410" spans="1:16" x14ac:dyDescent="0.3">
      <c r="A410" t="s">
        <v>792</v>
      </c>
      <c r="B410" t="s">
        <v>794</v>
      </c>
      <c r="C410" t="s">
        <v>33</v>
      </c>
      <c r="D410" t="s">
        <v>34</v>
      </c>
      <c r="E410" t="s">
        <v>35</v>
      </c>
      <c r="F410">
        <v>470</v>
      </c>
      <c r="G410">
        <v>261956</v>
      </c>
      <c r="H410">
        <v>2022</v>
      </c>
      <c r="I410">
        <v>12</v>
      </c>
      <c r="J410" t="s">
        <v>783</v>
      </c>
      <c r="K410">
        <v>4</v>
      </c>
      <c r="L410" t="s">
        <v>31</v>
      </c>
      <c r="M410">
        <v>1</v>
      </c>
      <c r="N410" t="b">
        <v>0</v>
      </c>
      <c r="O410" t="b">
        <v>1</v>
      </c>
      <c r="P410">
        <v>261956</v>
      </c>
    </row>
    <row r="411" spans="1:16" x14ac:dyDescent="0.3">
      <c r="A411" t="s">
        <v>795</v>
      </c>
      <c r="B411" t="s">
        <v>796</v>
      </c>
      <c r="C411" t="s">
        <v>18</v>
      </c>
      <c r="D411" t="s">
        <v>19</v>
      </c>
      <c r="E411" t="s">
        <v>20</v>
      </c>
      <c r="F411">
        <v>810</v>
      </c>
      <c r="G411">
        <v>262766</v>
      </c>
      <c r="H411">
        <v>2022</v>
      </c>
      <c r="I411">
        <v>12</v>
      </c>
      <c r="J411" t="s">
        <v>783</v>
      </c>
      <c r="K411">
        <v>4</v>
      </c>
      <c r="L411" t="s">
        <v>38</v>
      </c>
      <c r="M411">
        <v>2</v>
      </c>
      <c r="N411" t="b">
        <v>1</v>
      </c>
      <c r="O411" t="b">
        <v>0</v>
      </c>
      <c r="P411">
        <v>262766</v>
      </c>
    </row>
    <row r="412" spans="1:16" x14ac:dyDescent="0.3">
      <c r="A412" t="s">
        <v>797</v>
      </c>
      <c r="B412" t="s">
        <v>798</v>
      </c>
      <c r="C412" t="s">
        <v>18</v>
      </c>
      <c r="D412" t="s">
        <v>19</v>
      </c>
      <c r="E412" t="s">
        <v>20</v>
      </c>
      <c r="F412">
        <v>1062</v>
      </c>
      <c r="G412">
        <v>263828</v>
      </c>
      <c r="H412">
        <v>2022</v>
      </c>
      <c r="I412">
        <v>12</v>
      </c>
      <c r="J412" t="s">
        <v>783</v>
      </c>
      <c r="K412">
        <v>4</v>
      </c>
      <c r="L412" t="s">
        <v>41</v>
      </c>
      <c r="M412">
        <v>3</v>
      </c>
      <c r="N412" t="b">
        <v>1</v>
      </c>
      <c r="O412" t="b">
        <v>0</v>
      </c>
      <c r="P412">
        <v>263828</v>
      </c>
    </row>
    <row r="413" spans="1:16" x14ac:dyDescent="0.3">
      <c r="A413" t="s">
        <v>799</v>
      </c>
      <c r="B413" t="s">
        <v>800</v>
      </c>
      <c r="C413" t="s">
        <v>18</v>
      </c>
      <c r="D413" t="s">
        <v>19</v>
      </c>
      <c r="E413" t="s">
        <v>20</v>
      </c>
      <c r="F413">
        <v>1192</v>
      </c>
      <c r="G413">
        <v>265020</v>
      </c>
      <c r="H413">
        <v>2022</v>
      </c>
      <c r="I413">
        <v>12</v>
      </c>
      <c r="J413" t="s">
        <v>783</v>
      </c>
      <c r="K413">
        <v>4</v>
      </c>
      <c r="L413" t="s">
        <v>44</v>
      </c>
      <c r="M413">
        <v>4</v>
      </c>
      <c r="N413" t="b">
        <v>1</v>
      </c>
      <c r="O413" t="b">
        <v>0</v>
      </c>
      <c r="P413">
        <v>265020</v>
      </c>
    </row>
    <row r="414" spans="1:16" x14ac:dyDescent="0.3">
      <c r="A414" t="s">
        <v>801</v>
      </c>
      <c r="B414" t="s">
        <v>802</v>
      </c>
      <c r="C414" t="s">
        <v>18</v>
      </c>
      <c r="D414" t="s">
        <v>19</v>
      </c>
      <c r="E414" t="s">
        <v>20</v>
      </c>
      <c r="F414">
        <v>993</v>
      </c>
      <c r="G414">
        <v>266013</v>
      </c>
      <c r="H414">
        <v>2022</v>
      </c>
      <c r="I414">
        <v>12</v>
      </c>
      <c r="J414" t="s">
        <v>783</v>
      </c>
      <c r="K414">
        <v>4</v>
      </c>
      <c r="L414" t="s">
        <v>22</v>
      </c>
      <c r="M414">
        <v>5</v>
      </c>
      <c r="N414" t="b">
        <v>1</v>
      </c>
      <c r="O414" t="b">
        <v>0</v>
      </c>
      <c r="P414">
        <v>266013</v>
      </c>
    </row>
    <row r="415" spans="1:16" x14ac:dyDescent="0.3">
      <c r="A415" t="s">
        <v>803</v>
      </c>
      <c r="B415" t="s">
        <v>804</v>
      </c>
      <c r="C415" t="s">
        <v>18</v>
      </c>
      <c r="D415" t="s">
        <v>19</v>
      </c>
      <c r="E415" t="s">
        <v>20</v>
      </c>
      <c r="F415">
        <v>714</v>
      </c>
      <c r="G415">
        <v>266727</v>
      </c>
      <c r="H415">
        <v>2022</v>
      </c>
      <c r="I415">
        <v>12</v>
      </c>
      <c r="J415" t="s">
        <v>783</v>
      </c>
      <c r="K415">
        <v>4</v>
      </c>
      <c r="L415" t="s">
        <v>25</v>
      </c>
      <c r="M415">
        <v>6</v>
      </c>
      <c r="N415" t="b">
        <v>1</v>
      </c>
      <c r="O415" t="b">
        <v>0</v>
      </c>
      <c r="P415">
        <v>266727</v>
      </c>
    </row>
    <row r="416" spans="1:16" x14ac:dyDescent="0.3">
      <c r="A416" t="s">
        <v>803</v>
      </c>
      <c r="B416" t="s">
        <v>805</v>
      </c>
      <c r="C416" t="s">
        <v>137</v>
      </c>
      <c r="D416" t="s">
        <v>34</v>
      </c>
      <c r="E416" t="s">
        <v>35</v>
      </c>
      <c r="F416">
        <v>218</v>
      </c>
      <c r="G416">
        <v>266509</v>
      </c>
      <c r="H416">
        <v>2022</v>
      </c>
      <c r="I416">
        <v>12</v>
      </c>
      <c r="J416" t="s">
        <v>783</v>
      </c>
      <c r="K416">
        <v>4</v>
      </c>
      <c r="L416" t="s">
        <v>25</v>
      </c>
      <c r="M416">
        <v>6</v>
      </c>
      <c r="N416" t="b">
        <v>0</v>
      </c>
      <c r="O416" t="b">
        <v>1</v>
      </c>
      <c r="P416">
        <v>266509</v>
      </c>
    </row>
    <row r="417" spans="1:16" x14ac:dyDescent="0.3">
      <c r="A417" t="s">
        <v>806</v>
      </c>
      <c r="B417" t="s">
        <v>807</v>
      </c>
      <c r="C417" t="s">
        <v>18</v>
      </c>
      <c r="D417" t="s">
        <v>19</v>
      </c>
      <c r="E417" t="s">
        <v>20</v>
      </c>
      <c r="F417">
        <v>727</v>
      </c>
      <c r="G417">
        <v>267236</v>
      </c>
      <c r="H417">
        <v>2022</v>
      </c>
      <c r="I417">
        <v>12</v>
      </c>
      <c r="J417" t="s">
        <v>783</v>
      </c>
      <c r="K417">
        <v>4</v>
      </c>
      <c r="L417" t="s">
        <v>28</v>
      </c>
      <c r="M417">
        <v>0</v>
      </c>
      <c r="N417" t="b">
        <v>1</v>
      </c>
      <c r="O417" t="b">
        <v>0</v>
      </c>
      <c r="P417">
        <v>267236</v>
      </c>
    </row>
    <row r="418" spans="1:16" x14ac:dyDescent="0.3">
      <c r="A418" t="s">
        <v>806</v>
      </c>
      <c r="B418" t="s">
        <v>808</v>
      </c>
      <c r="C418" t="s">
        <v>88</v>
      </c>
      <c r="D418" t="s">
        <v>56</v>
      </c>
      <c r="E418" t="s">
        <v>35</v>
      </c>
      <c r="F418">
        <v>372</v>
      </c>
      <c r="G418">
        <v>266864</v>
      </c>
      <c r="H418">
        <v>2022</v>
      </c>
      <c r="I418">
        <v>12</v>
      </c>
      <c r="J418" t="s">
        <v>783</v>
      </c>
      <c r="K418">
        <v>4</v>
      </c>
      <c r="L418" t="s">
        <v>28</v>
      </c>
      <c r="M418">
        <v>0</v>
      </c>
      <c r="N418" t="b">
        <v>0</v>
      </c>
      <c r="O418" t="b">
        <v>1</v>
      </c>
      <c r="P418">
        <v>266864</v>
      </c>
    </row>
    <row r="419" spans="1:16" x14ac:dyDescent="0.3">
      <c r="A419" t="s">
        <v>809</v>
      </c>
      <c r="B419" t="s">
        <v>810</v>
      </c>
      <c r="C419" t="s">
        <v>18</v>
      </c>
      <c r="D419" t="s">
        <v>19</v>
      </c>
      <c r="E419" t="s">
        <v>20</v>
      </c>
      <c r="F419">
        <v>825</v>
      </c>
      <c r="G419">
        <v>267689</v>
      </c>
      <c r="H419">
        <v>2022</v>
      </c>
      <c r="I419">
        <v>12</v>
      </c>
      <c r="J419" t="s">
        <v>783</v>
      </c>
      <c r="K419">
        <v>4</v>
      </c>
      <c r="L419" t="s">
        <v>31</v>
      </c>
      <c r="M419">
        <v>1</v>
      </c>
      <c r="N419" t="b">
        <v>1</v>
      </c>
      <c r="O419" t="b">
        <v>0</v>
      </c>
      <c r="P419">
        <v>267689</v>
      </c>
    </row>
    <row r="420" spans="1:16" x14ac:dyDescent="0.3">
      <c r="A420" t="s">
        <v>809</v>
      </c>
      <c r="B420" t="s">
        <v>811</v>
      </c>
      <c r="C420" t="s">
        <v>137</v>
      </c>
      <c r="D420" t="s">
        <v>34</v>
      </c>
      <c r="E420" t="s">
        <v>35</v>
      </c>
      <c r="F420">
        <v>244</v>
      </c>
      <c r="G420">
        <v>267445</v>
      </c>
      <c r="H420">
        <v>2022</v>
      </c>
      <c r="I420">
        <v>12</v>
      </c>
      <c r="J420" t="s">
        <v>783</v>
      </c>
      <c r="K420">
        <v>4</v>
      </c>
      <c r="L420" t="s">
        <v>31</v>
      </c>
      <c r="M420">
        <v>1</v>
      </c>
      <c r="N420" t="b">
        <v>0</v>
      </c>
      <c r="O420" t="b">
        <v>1</v>
      </c>
      <c r="P420">
        <v>267445</v>
      </c>
    </row>
    <row r="421" spans="1:16" x14ac:dyDescent="0.3">
      <c r="A421" t="s">
        <v>812</v>
      </c>
      <c r="B421" t="s">
        <v>813</v>
      </c>
      <c r="C421" t="s">
        <v>18</v>
      </c>
      <c r="D421" t="s">
        <v>19</v>
      </c>
      <c r="E421" t="s">
        <v>20</v>
      </c>
      <c r="F421">
        <v>911</v>
      </c>
      <c r="G421">
        <v>268356</v>
      </c>
      <c r="H421">
        <v>2022</v>
      </c>
      <c r="I421">
        <v>12</v>
      </c>
      <c r="J421" t="s">
        <v>783</v>
      </c>
      <c r="K421">
        <v>4</v>
      </c>
      <c r="L421" t="s">
        <v>38</v>
      </c>
      <c r="M421">
        <v>2</v>
      </c>
      <c r="N421" t="b">
        <v>1</v>
      </c>
      <c r="O421" t="b">
        <v>0</v>
      </c>
      <c r="P421">
        <v>268356</v>
      </c>
    </row>
    <row r="422" spans="1:16" x14ac:dyDescent="0.3">
      <c r="A422" t="s">
        <v>814</v>
      </c>
      <c r="B422" t="s">
        <v>815</v>
      </c>
      <c r="C422" t="s">
        <v>18</v>
      </c>
      <c r="D422" t="s">
        <v>19</v>
      </c>
      <c r="E422" t="s">
        <v>20</v>
      </c>
      <c r="F422">
        <v>1093</v>
      </c>
      <c r="G422">
        <v>269449</v>
      </c>
      <c r="H422">
        <v>2022</v>
      </c>
      <c r="I422">
        <v>12</v>
      </c>
      <c r="J422" t="s">
        <v>783</v>
      </c>
      <c r="K422">
        <v>4</v>
      </c>
      <c r="L422" t="s">
        <v>41</v>
      </c>
      <c r="M422">
        <v>3</v>
      </c>
      <c r="N422" t="b">
        <v>1</v>
      </c>
      <c r="O422" t="b">
        <v>0</v>
      </c>
      <c r="P422">
        <v>269449</v>
      </c>
    </row>
    <row r="423" spans="1:16" x14ac:dyDescent="0.3">
      <c r="A423" t="s">
        <v>816</v>
      </c>
      <c r="B423" t="s">
        <v>817</v>
      </c>
      <c r="C423" t="s">
        <v>18</v>
      </c>
      <c r="D423" t="s">
        <v>19</v>
      </c>
      <c r="E423" t="s">
        <v>20</v>
      </c>
      <c r="F423">
        <v>808</v>
      </c>
      <c r="G423">
        <v>270257</v>
      </c>
      <c r="H423">
        <v>2022</v>
      </c>
      <c r="I423">
        <v>12</v>
      </c>
      <c r="J423" t="s">
        <v>783</v>
      </c>
      <c r="K423">
        <v>4</v>
      </c>
      <c r="L423" t="s">
        <v>44</v>
      </c>
      <c r="M423">
        <v>4</v>
      </c>
      <c r="N423" t="b">
        <v>1</v>
      </c>
      <c r="O423" t="b">
        <v>0</v>
      </c>
      <c r="P423">
        <v>270257</v>
      </c>
    </row>
    <row r="424" spans="1:16" x14ac:dyDescent="0.3">
      <c r="A424" t="s">
        <v>818</v>
      </c>
      <c r="B424" t="s">
        <v>819</v>
      </c>
      <c r="C424" t="s">
        <v>18</v>
      </c>
      <c r="D424" t="s">
        <v>19</v>
      </c>
      <c r="E424" t="s">
        <v>20</v>
      </c>
      <c r="F424">
        <v>927</v>
      </c>
      <c r="G424">
        <v>271184</v>
      </c>
      <c r="H424">
        <v>2022</v>
      </c>
      <c r="I424">
        <v>12</v>
      </c>
      <c r="J424" t="s">
        <v>783</v>
      </c>
      <c r="K424">
        <v>4</v>
      </c>
      <c r="L424" t="s">
        <v>22</v>
      </c>
      <c r="M424">
        <v>5</v>
      </c>
      <c r="N424" t="b">
        <v>1</v>
      </c>
      <c r="O424" t="b">
        <v>0</v>
      </c>
      <c r="P424">
        <v>271184</v>
      </c>
    </row>
    <row r="425" spans="1:16" x14ac:dyDescent="0.3">
      <c r="A425" t="s">
        <v>820</v>
      </c>
      <c r="B425" t="s">
        <v>821</v>
      </c>
      <c r="C425" t="s">
        <v>18</v>
      </c>
      <c r="D425" t="s">
        <v>19</v>
      </c>
      <c r="E425" t="s">
        <v>20</v>
      </c>
      <c r="F425">
        <v>733</v>
      </c>
      <c r="G425">
        <v>271917</v>
      </c>
      <c r="H425">
        <v>2022</v>
      </c>
      <c r="I425">
        <v>12</v>
      </c>
      <c r="J425" t="s">
        <v>783</v>
      </c>
      <c r="K425">
        <v>4</v>
      </c>
      <c r="L425" t="s">
        <v>25</v>
      </c>
      <c r="M425">
        <v>6</v>
      </c>
      <c r="N425" t="b">
        <v>1</v>
      </c>
      <c r="O425" t="b">
        <v>0</v>
      </c>
      <c r="P425">
        <v>271917</v>
      </c>
    </row>
    <row r="426" spans="1:16" x14ac:dyDescent="0.3">
      <c r="A426" t="s">
        <v>822</v>
      </c>
      <c r="B426" t="s">
        <v>823</v>
      </c>
      <c r="C426" t="s">
        <v>18</v>
      </c>
      <c r="D426" t="s">
        <v>19</v>
      </c>
      <c r="E426" t="s">
        <v>20</v>
      </c>
      <c r="F426">
        <v>1123</v>
      </c>
      <c r="G426">
        <v>273040</v>
      </c>
      <c r="H426">
        <v>2022</v>
      </c>
      <c r="I426">
        <v>12</v>
      </c>
      <c r="J426" t="s">
        <v>783</v>
      </c>
      <c r="K426">
        <v>4</v>
      </c>
      <c r="L426" t="s">
        <v>28</v>
      </c>
      <c r="M426">
        <v>0</v>
      </c>
      <c r="N426" t="b">
        <v>1</v>
      </c>
      <c r="O426" t="b">
        <v>0</v>
      </c>
      <c r="P426">
        <v>273040</v>
      </c>
    </row>
    <row r="427" spans="1:16" x14ac:dyDescent="0.3">
      <c r="A427" t="s">
        <v>824</v>
      </c>
      <c r="B427" t="s">
        <v>825</v>
      </c>
      <c r="C427" t="s">
        <v>18</v>
      </c>
      <c r="D427" t="s">
        <v>19</v>
      </c>
      <c r="E427" t="s">
        <v>20</v>
      </c>
      <c r="F427">
        <v>782</v>
      </c>
      <c r="G427">
        <v>273822</v>
      </c>
      <c r="H427">
        <v>2022</v>
      </c>
      <c r="I427">
        <v>12</v>
      </c>
      <c r="J427" t="s">
        <v>783</v>
      </c>
      <c r="K427">
        <v>4</v>
      </c>
      <c r="L427" t="s">
        <v>31</v>
      </c>
      <c r="M427">
        <v>1</v>
      </c>
      <c r="N427" t="b">
        <v>1</v>
      </c>
      <c r="O427" t="b">
        <v>0</v>
      </c>
      <c r="P427">
        <v>273822</v>
      </c>
    </row>
    <row r="428" spans="1:16" x14ac:dyDescent="0.3">
      <c r="A428" t="s">
        <v>826</v>
      </c>
      <c r="B428" t="s">
        <v>827</v>
      </c>
      <c r="C428" t="s">
        <v>18</v>
      </c>
      <c r="D428" t="s">
        <v>19</v>
      </c>
      <c r="E428" t="s">
        <v>20</v>
      </c>
      <c r="F428">
        <v>800</v>
      </c>
      <c r="G428">
        <v>274622</v>
      </c>
      <c r="H428">
        <v>2022</v>
      </c>
      <c r="I428">
        <v>12</v>
      </c>
      <c r="J428" t="s">
        <v>783</v>
      </c>
      <c r="K428">
        <v>4</v>
      </c>
      <c r="L428" t="s">
        <v>38</v>
      </c>
      <c r="M428">
        <v>2</v>
      </c>
      <c r="N428" t="b">
        <v>1</v>
      </c>
      <c r="O428" t="b">
        <v>0</v>
      </c>
      <c r="P428">
        <v>274622</v>
      </c>
    </row>
    <row r="429" spans="1:16" x14ac:dyDescent="0.3">
      <c r="A429" t="s">
        <v>828</v>
      </c>
      <c r="B429" t="s">
        <v>829</v>
      </c>
      <c r="C429" t="s">
        <v>18</v>
      </c>
      <c r="D429" t="s">
        <v>19</v>
      </c>
      <c r="E429" t="s">
        <v>20</v>
      </c>
      <c r="F429">
        <v>981</v>
      </c>
      <c r="G429">
        <v>275603</v>
      </c>
      <c r="H429">
        <v>2022</v>
      </c>
      <c r="I429">
        <v>12</v>
      </c>
      <c r="J429" t="s">
        <v>783</v>
      </c>
      <c r="K429">
        <v>4</v>
      </c>
      <c r="L429" t="s">
        <v>41</v>
      </c>
      <c r="M429">
        <v>3</v>
      </c>
      <c r="N429" t="b">
        <v>1</v>
      </c>
      <c r="O429" t="b">
        <v>0</v>
      </c>
      <c r="P429">
        <v>275603</v>
      </c>
    </row>
    <row r="430" spans="1:16" x14ac:dyDescent="0.3">
      <c r="A430" t="s">
        <v>830</v>
      </c>
      <c r="B430" t="s">
        <v>831</v>
      </c>
      <c r="C430" t="s">
        <v>18</v>
      </c>
      <c r="D430" t="s">
        <v>19</v>
      </c>
      <c r="E430" t="s">
        <v>20</v>
      </c>
      <c r="F430">
        <v>1142</v>
      </c>
      <c r="G430">
        <v>276745</v>
      </c>
      <c r="H430">
        <v>2022</v>
      </c>
      <c r="I430">
        <v>12</v>
      </c>
      <c r="J430" t="s">
        <v>783</v>
      </c>
      <c r="K430">
        <v>4</v>
      </c>
      <c r="L430" t="s">
        <v>44</v>
      </c>
      <c r="M430">
        <v>4</v>
      </c>
      <c r="N430" t="b">
        <v>1</v>
      </c>
      <c r="O430" t="b">
        <v>0</v>
      </c>
      <c r="P430">
        <v>276745</v>
      </c>
    </row>
    <row r="431" spans="1:16" x14ac:dyDescent="0.3">
      <c r="A431" t="s">
        <v>832</v>
      </c>
      <c r="B431" t="s">
        <v>833</v>
      </c>
      <c r="C431" t="s">
        <v>18</v>
      </c>
      <c r="D431" t="s">
        <v>19</v>
      </c>
      <c r="E431" t="s">
        <v>20</v>
      </c>
      <c r="F431">
        <v>1064</v>
      </c>
      <c r="G431">
        <v>277809</v>
      </c>
      <c r="H431">
        <v>2022</v>
      </c>
      <c r="I431">
        <v>12</v>
      </c>
      <c r="J431" t="s">
        <v>783</v>
      </c>
      <c r="K431">
        <v>4</v>
      </c>
      <c r="L431" t="s">
        <v>22</v>
      </c>
      <c r="M431">
        <v>5</v>
      </c>
      <c r="N431" t="b">
        <v>1</v>
      </c>
      <c r="O431" t="b">
        <v>0</v>
      </c>
      <c r="P431">
        <v>277809</v>
      </c>
    </row>
    <row r="432" spans="1:16" x14ac:dyDescent="0.3">
      <c r="A432" t="s">
        <v>834</v>
      </c>
      <c r="B432" t="s">
        <v>835</v>
      </c>
      <c r="C432" t="s">
        <v>18</v>
      </c>
      <c r="D432" t="s">
        <v>19</v>
      </c>
      <c r="E432" t="s">
        <v>20</v>
      </c>
      <c r="F432">
        <v>1076</v>
      </c>
      <c r="G432">
        <v>278885</v>
      </c>
      <c r="H432">
        <v>2022</v>
      </c>
      <c r="I432">
        <v>12</v>
      </c>
      <c r="J432" t="s">
        <v>783</v>
      </c>
      <c r="K432">
        <v>4</v>
      </c>
      <c r="L432" t="s">
        <v>25</v>
      </c>
      <c r="M432">
        <v>6</v>
      </c>
      <c r="N432" t="b">
        <v>1</v>
      </c>
      <c r="O432" t="b">
        <v>0</v>
      </c>
      <c r="P432">
        <v>278885</v>
      </c>
    </row>
    <row r="433" spans="1:16" x14ac:dyDescent="0.3">
      <c r="A433" t="s">
        <v>836</v>
      </c>
      <c r="B433" t="s">
        <v>837</v>
      </c>
      <c r="C433" t="s">
        <v>18</v>
      </c>
      <c r="D433" t="s">
        <v>19</v>
      </c>
      <c r="E433" t="s">
        <v>20</v>
      </c>
      <c r="F433">
        <v>849</v>
      </c>
      <c r="G433">
        <v>279734</v>
      </c>
      <c r="H433">
        <v>2022</v>
      </c>
      <c r="I433">
        <v>12</v>
      </c>
      <c r="J433" t="s">
        <v>783</v>
      </c>
      <c r="K433">
        <v>4</v>
      </c>
      <c r="L433" t="s">
        <v>28</v>
      </c>
      <c r="M433">
        <v>0</v>
      </c>
      <c r="N433" t="b">
        <v>1</v>
      </c>
      <c r="O433" t="b">
        <v>0</v>
      </c>
      <c r="P433">
        <v>279734</v>
      </c>
    </row>
    <row r="434" spans="1:16" x14ac:dyDescent="0.3">
      <c r="A434" t="s">
        <v>838</v>
      </c>
      <c r="B434" t="s">
        <v>839</v>
      </c>
      <c r="C434" t="s">
        <v>18</v>
      </c>
      <c r="D434" t="s">
        <v>19</v>
      </c>
      <c r="E434" t="s">
        <v>20</v>
      </c>
      <c r="F434">
        <v>769</v>
      </c>
      <c r="G434">
        <v>280503</v>
      </c>
      <c r="H434">
        <v>2022</v>
      </c>
      <c r="I434">
        <v>12</v>
      </c>
      <c r="J434" t="s">
        <v>783</v>
      </c>
      <c r="K434">
        <v>4</v>
      </c>
      <c r="L434" t="s">
        <v>31</v>
      </c>
      <c r="M434">
        <v>1</v>
      </c>
      <c r="N434" t="b">
        <v>1</v>
      </c>
      <c r="O434" t="b">
        <v>0</v>
      </c>
      <c r="P434">
        <v>280503</v>
      </c>
    </row>
    <row r="435" spans="1:16" x14ac:dyDescent="0.3">
      <c r="A435" t="s">
        <v>840</v>
      </c>
      <c r="B435" t="s">
        <v>841</v>
      </c>
      <c r="C435" t="s">
        <v>18</v>
      </c>
      <c r="D435" t="s">
        <v>19</v>
      </c>
      <c r="E435" t="s">
        <v>20</v>
      </c>
      <c r="F435">
        <v>703</v>
      </c>
      <c r="G435">
        <v>281206</v>
      </c>
      <c r="H435">
        <v>2022</v>
      </c>
      <c r="I435">
        <v>12</v>
      </c>
      <c r="J435" t="s">
        <v>783</v>
      </c>
      <c r="K435">
        <v>4</v>
      </c>
      <c r="L435" t="s">
        <v>38</v>
      </c>
      <c r="M435">
        <v>2</v>
      </c>
      <c r="N435" t="b">
        <v>1</v>
      </c>
      <c r="O435" t="b">
        <v>0</v>
      </c>
      <c r="P435">
        <v>281206</v>
      </c>
    </row>
    <row r="436" spans="1:16" x14ac:dyDescent="0.3">
      <c r="A436" t="s">
        <v>842</v>
      </c>
      <c r="B436" t="s">
        <v>843</v>
      </c>
      <c r="C436" t="s">
        <v>18</v>
      </c>
      <c r="D436" t="s">
        <v>19</v>
      </c>
      <c r="E436" t="s">
        <v>20</v>
      </c>
      <c r="F436">
        <v>1145</v>
      </c>
      <c r="G436">
        <v>282351</v>
      </c>
      <c r="H436">
        <v>2022</v>
      </c>
      <c r="I436">
        <v>12</v>
      </c>
      <c r="J436" t="s">
        <v>783</v>
      </c>
      <c r="K436">
        <v>4</v>
      </c>
      <c r="L436" t="s">
        <v>41</v>
      </c>
      <c r="M436">
        <v>3</v>
      </c>
      <c r="N436" t="b">
        <v>1</v>
      </c>
      <c r="O436" t="b">
        <v>0</v>
      </c>
      <c r="P436">
        <v>282351</v>
      </c>
    </row>
    <row r="437" spans="1:16" x14ac:dyDescent="0.3">
      <c r="A437" t="s">
        <v>844</v>
      </c>
      <c r="B437" t="s">
        <v>845</v>
      </c>
      <c r="C437" t="s">
        <v>18</v>
      </c>
      <c r="D437" t="s">
        <v>19</v>
      </c>
      <c r="E437" t="s">
        <v>20</v>
      </c>
      <c r="F437">
        <v>794</v>
      </c>
      <c r="G437">
        <v>283145</v>
      </c>
      <c r="H437">
        <v>2022</v>
      </c>
      <c r="I437">
        <v>12</v>
      </c>
      <c r="J437" t="s">
        <v>783</v>
      </c>
      <c r="K437">
        <v>4</v>
      </c>
      <c r="L437" t="s">
        <v>44</v>
      </c>
      <c r="M437">
        <v>4</v>
      </c>
      <c r="N437" t="b">
        <v>1</v>
      </c>
      <c r="O437" t="b">
        <v>0</v>
      </c>
      <c r="P437">
        <v>283145</v>
      </c>
    </row>
    <row r="438" spans="1:16" x14ac:dyDescent="0.3">
      <c r="A438" t="s">
        <v>844</v>
      </c>
      <c r="B438" t="s">
        <v>846</v>
      </c>
      <c r="C438" t="s">
        <v>33</v>
      </c>
      <c r="D438" t="s">
        <v>34</v>
      </c>
      <c r="E438" t="s">
        <v>35</v>
      </c>
      <c r="F438">
        <v>236</v>
      </c>
      <c r="G438">
        <v>282909</v>
      </c>
      <c r="H438">
        <v>2022</v>
      </c>
      <c r="I438">
        <v>12</v>
      </c>
      <c r="J438" t="s">
        <v>783</v>
      </c>
      <c r="K438">
        <v>4</v>
      </c>
      <c r="L438" t="s">
        <v>44</v>
      </c>
      <c r="M438">
        <v>4</v>
      </c>
      <c r="N438" t="b">
        <v>0</v>
      </c>
      <c r="O438" t="b">
        <v>1</v>
      </c>
      <c r="P438">
        <v>282909</v>
      </c>
    </row>
    <row r="439" spans="1:16" x14ac:dyDescent="0.3">
      <c r="A439" t="s">
        <v>847</v>
      </c>
      <c r="B439" t="s">
        <v>848</v>
      </c>
      <c r="C439" t="s">
        <v>46</v>
      </c>
      <c r="D439" t="s">
        <v>34</v>
      </c>
      <c r="E439" t="s">
        <v>35</v>
      </c>
      <c r="F439">
        <v>328</v>
      </c>
      <c r="G439">
        <v>283523</v>
      </c>
      <c r="H439">
        <v>2022</v>
      </c>
      <c r="I439">
        <v>12</v>
      </c>
      <c r="J439" t="s">
        <v>783</v>
      </c>
      <c r="K439">
        <v>4</v>
      </c>
      <c r="L439" t="s">
        <v>22</v>
      </c>
      <c r="M439">
        <v>5</v>
      </c>
      <c r="N439" t="b">
        <v>0</v>
      </c>
      <c r="O439" t="b">
        <v>1</v>
      </c>
      <c r="P439">
        <v>282581</v>
      </c>
    </row>
    <row r="440" spans="1:16" x14ac:dyDescent="0.3">
      <c r="A440" t="s">
        <v>847</v>
      </c>
      <c r="B440" t="s">
        <v>849</v>
      </c>
      <c r="C440" t="s">
        <v>18</v>
      </c>
      <c r="D440" t="s">
        <v>19</v>
      </c>
      <c r="E440" t="s">
        <v>20</v>
      </c>
      <c r="F440">
        <v>942</v>
      </c>
      <c r="G440">
        <v>283851</v>
      </c>
      <c r="H440">
        <v>2022</v>
      </c>
      <c r="I440">
        <v>12</v>
      </c>
      <c r="J440" t="s">
        <v>783</v>
      </c>
      <c r="K440">
        <v>4</v>
      </c>
      <c r="L440" t="s">
        <v>22</v>
      </c>
      <c r="M440">
        <v>5</v>
      </c>
      <c r="N440" t="b">
        <v>1</v>
      </c>
      <c r="O440" t="b">
        <v>0</v>
      </c>
      <c r="P440">
        <v>283523</v>
      </c>
    </row>
    <row r="441" spans="1:16" x14ac:dyDescent="0.3">
      <c r="A441" t="s">
        <v>850</v>
      </c>
      <c r="B441" t="s">
        <v>851</v>
      </c>
      <c r="C441" t="s">
        <v>18</v>
      </c>
      <c r="D441" t="s">
        <v>19</v>
      </c>
      <c r="E441" t="s">
        <v>20</v>
      </c>
      <c r="F441">
        <v>1107</v>
      </c>
      <c r="G441">
        <v>284630</v>
      </c>
      <c r="H441">
        <v>2023</v>
      </c>
      <c r="I441">
        <v>1</v>
      </c>
      <c r="J441" t="s">
        <v>21</v>
      </c>
      <c r="K441">
        <v>1</v>
      </c>
      <c r="L441" t="s">
        <v>25</v>
      </c>
      <c r="M441">
        <v>6</v>
      </c>
      <c r="N441" t="b">
        <v>1</v>
      </c>
      <c r="O441" t="b">
        <v>0</v>
      </c>
      <c r="P441">
        <v>284630</v>
      </c>
    </row>
    <row r="442" spans="1:16" x14ac:dyDescent="0.3">
      <c r="A442" t="s">
        <v>850</v>
      </c>
      <c r="B442" t="s">
        <v>852</v>
      </c>
      <c r="C442" t="s">
        <v>46</v>
      </c>
      <c r="D442" t="s">
        <v>34</v>
      </c>
      <c r="E442" t="s">
        <v>35</v>
      </c>
      <c r="F442">
        <v>421</v>
      </c>
      <c r="G442">
        <v>284209</v>
      </c>
      <c r="H442">
        <v>2023</v>
      </c>
      <c r="I442">
        <v>1</v>
      </c>
      <c r="J442" t="s">
        <v>21</v>
      </c>
      <c r="K442">
        <v>1</v>
      </c>
      <c r="L442" t="s">
        <v>25</v>
      </c>
      <c r="M442">
        <v>6</v>
      </c>
      <c r="N442" t="b">
        <v>0</v>
      </c>
      <c r="O442" t="b">
        <v>1</v>
      </c>
      <c r="P442">
        <v>284209</v>
      </c>
    </row>
    <row r="443" spans="1:16" x14ac:dyDescent="0.3">
      <c r="A443" t="s">
        <v>853</v>
      </c>
      <c r="B443" t="s">
        <v>854</v>
      </c>
      <c r="C443" t="s">
        <v>18</v>
      </c>
      <c r="D443" t="s">
        <v>19</v>
      </c>
      <c r="E443" t="s">
        <v>20</v>
      </c>
      <c r="F443">
        <v>919</v>
      </c>
      <c r="G443">
        <v>285128</v>
      </c>
      <c r="H443">
        <v>2023</v>
      </c>
      <c r="I443">
        <v>1</v>
      </c>
      <c r="J443" t="s">
        <v>21</v>
      </c>
      <c r="K443">
        <v>1</v>
      </c>
      <c r="L443" t="s">
        <v>28</v>
      </c>
      <c r="M443">
        <v>0</v>
      </c>
      <c r="N443" t="b">
        <v>1</v>
      </c>
      <c r="O443" t="b">
        <v>0</v>
      </c>
      <c r="P443">
        <v>285128</v>
      </c>
    </row>
    <row r="444" spans="1:16" x14ac:dyDescent="0.3">
      <c r="A444" t="s">
        <v>855</v>
      </c>
      <c r="B444" t="s">
        <v>856</v>
      </c>
      <c r="C444" t="s">
        <v>18</v>
      </c>
      <c r="D444" t="s">
        <v>19</v>
      </c>
      <c r="E444" t="s">
        <v>20</v>
      </c>
      <c r="F444">
        <v>1034</v>
      </c>
      <c r="G444">
        <v>286162</v>
      </c>
      <c r="H444">
        <v>2023</v>
      </c>
      <c r="I444">
        <v>1</v>
      </c>
      <c r="J444" t="s">
        <v>21</v>
      </c>
      <c r="K444">
        <v>1</v>
      </c>
      <c r="L444" t="s">
        <v>31</v>
      </c>
      <c r="M444">
        <v>1</v>
      </c>
      <c r="N444" t="b">
        <v>1</v>
      </c>
      <c r="O444" t="b">
        <v>0</v>
      </c>
      <c r="P444">
        <v>286162</v>
      </c>
    </row>
    <row r="445" spans="1:16" x14ac:dyDescent="0.3">
      <c r="A445" t="s">
        <v>857</v>
      </c>
      <c r="B445" t="s">
        <v>858</v>
      </c>
      <c r="C445" t="s">
        <v>18</v>
      </c>
      <c r="D445" t="s">
        <v>19</v>
      </c>
      <c r="E445" t="s">
        <v>20</v>
      </c>
      <c r="F445">
        <v>1068</v>
      </c>
      <c r="G445">
        <v>287230</v>
      </c>
      <c r="H445">
        <v>2023</v>
      </c>
      <c r="I445">
        <v>1</v>
      </c>
      <c r="J445" t="s">
        <v>21</v>
      </c>
      <c r="K445">
        <v>1</v>
      </c>
      <c r="L445" t="s">
        <v>38</v>
      </c>
      <c r="M445">
        <v>2</v>
      </c>
      <c r="N445" t="b">
        <v>1</v>
      </c>
      <c r="O445" t="b">
        <v>0</v>
      </c>
      <c r="P445">
        <v>287230</v>
      </c>
    </row>
    <row r="446" spans="1:16" x14ac:dyDescent="0.3">
      <c r="A446" t="s">
        <v>859</v>
      </c>
      <c r="B446" t="s">
        <v>860</v>
      </c>
      <c r="C446" t="s">
        <v>18</v>
      </c>
      <c r="D446" t="s">
        <v>19</v>
      </c>
      <c r="E446" t="s">
        <v>20</v>
      </c>
      <c r="F446">
        <v>1185</v>
      </c>
      <c r="G446">
        <v>288415</v>
      </c>
      <c r="H446">
        <v>2023</v>
      </c>
      <c r="I446">
        <v>1</v>
      </c>
      <c r="J446" t="s">
        <v>21</v>
      </c>
      <c r="K446">
        <v>1</v>
      </c>
      <c r="L446" t="s">
        <v>41</v>
      </c>
      <c r="M446">
        <v>3</v>
      </c>
      <c r="N446" t="b">
        <v>1</v>
      </c>
      <c r="O446" t="b">
        <v>0</v>
      </c>
      <c r="P446">
        <v>288415</v>
      </c>
    </row>
    <row r="447" spans="1:16" x14ac:dyDescent="0.3">
      <c r="A447" t="s">
        <v>861</v>
      </c>
      <c r="B447" t="s">
        <v>862</v>
      </c>
      <c r="C447" t="s">
        <v>18</v>
      </c>
      <c r="D447" t="s">
        <v>19</v>
      </c>
      <c r="E447" t="s">
        <v>20</v>
      </c>
      <c r="F447">
        <v>1140</v>
      </c>
      <c r="G447">
        <v>289555</v>
      </c>
      <c r="H447">
        <v>2023</v>
      </c>
      <c r="I447">
        <v>1</v>
      </c>
      <c r="J447" t="s">
        <v>21</v>
      </c>
      <c r="K447">
        <v>1</v>
      </c>
      <c r="L447" t="s">
        <v>44</v>
      </c>
      <c r="M447">
        <v>4</v>
      </c>
      <c r="N447" t="b">
        <v>1</v>
      </c>
      <c r="O447" t="b">
        <v>0</v>
      </c>
      <c r="P447">
        <v>289555</v>
      </c>
    </row>
    <row r="448" spans="1:16" x14ac:dyDescent="0.3">
      <c r="A448" t="s">
        <v>863</v>
      </c>
      <c r="B448" t="s">
        <v>864</v>
      </c>
      <c r="C448" t="s">
        <v>18</v>
      </c>
      <c r="D448" t="s">
        <v>19</v>
      </c>
      <c r="E448" t="s">
        <v>20</v>
      </c>
      <c r="F448">
        <v>902</v>
      </c>
      <c r="G448">
        <v>290457</v>
      </c>
      <c r="H448">
        <v>2023</v>
      </c>
      <c r="I448">
        <v>1</v>
      </c>
      <c r="J448" t="s">
        <v>21</v>
      </c>
      <c r="K448">
        <v>1</v>
      </c>
      <c r="L448" t="s">
        <v>22</v>
      </c>
      <c r="M448">
        <v>5</v>
      </c>
      <c r="N448" t="b">
        <v>1</v>
      </c>
      <c r="O448" t="b">
        <v>0</v>
      </c>
      <c r="P448">
        <v>290457</v>
      </c>
    </row>
    <row r="449" spans="1:16" x14ac:dyDescent="0.3">
      <c r="A449" t="s">
        <v>865</v>
      </c>
      <c r="B449" t="s">
        <v>866</v>
      </c>
      <c r="C449" t="s">
        <v>18</v>
      </c>
      <c r="D449" t="s">
        <v>19</v>
      </c>
      <c r="E449" t="s">
        <v>20</v>
      </c>
      <c r="F449">
        <v>1134</v>
      </c>
      <c r="G449">
        <v>291591</v>
      </c>
      <c r="H449">
        <v>2023</v>
      </c>
      <c r="I449">
        <v>1</v>
      </c>
      <c r="J449" t="s">
        <v>21</v>
      </c>
      <c r="K449">
        <v>1</v>
      </c>
      <c r="L449" t="s">
        <v>25</v>
      </c>
      <c r="M449">
        <v>6</v>
      </c>
      <c r="N449" t="b">
        <v>1</v>
      </c>
      <c r="O449" t="b">
        <v>0</v>
      </c>
      <c r="P449">
        <v>291591</v>
      </c>
    </row>
    <row r="450" spans="1:16" x14ac:dyDescent="0.3">
      <c r="A450" t="s">
        <v>867</v>
      </c>
      <c r="B450" t="s">
        <v>868</v>
      </c>
      <c r="C450" t="s">
        <v>18</v>
      </c>
      <c r="D450" t="s">
        <v>19</v>
      </c>
      <c r="E450" t="s">
        <v>20</v>
      </c>
      <c r="F450">
        <v>832</v>
      </c>
      <c r="G450">
        <v>292423</v>
      </c>
      <c r="H450">
        <v>2023</v>
      </c>
      <c r="I450">
        <v>1</v>
      </c>
      <c r="J450" t="s">
        <v>21</v>
      </c>
      <c r="K450">
        <v>1</v>
      </c>
      <c r="L450" t="s">
        <v>28</v>
      </c>
      <c r="M450">
        <v>0</v>
      </c>
      <c r="N450" t="b">
        <v>1</v>
      </c>
      <c r="O450" t="b">
        <v>0</v>
      </c>
      <c r="P450">
        <v>292423</v>
      </c>
    </row>
    <row r="451" spans="1:16" x14ac:dyDescent="0.3">
      <c r="A451" t="s">
        <v>867</v>
      </c>
      <c r="B451" t="s">
        <v>869</v>
      </c>
      <c r="C451" t="s">
        <v>46</v>
      </c>
      <c r="D451" t="s">
        <v>34</v>
      </c>
      <c r="E451" t="s">
        <v>35</v>
      </c>
      <c r="F451">
        <v>217</v>
      </c>
      <c r="G451">
        <v>292206</v>
      </c>
      <c r="H451">
        <v>2023</v>
      </c>
      <c r="I451">
        <v>1</v>
      </c>
      <c r="J451" t="s">
        <v>21</v>
      </c>
      <c r="K451">
        <v>1</v>
      </c>
      <c r="L451" t="s">
        <v>28</v>
      </c>
      <c r="M451">
        <v>0</v>
      </c>
      <c r="N451" t="b">
        <v>0</v>
      </c>
      <c r="O451" t="b">
        <v>1</v>
      </c>
      <c r="P451">
        <v>292206</v>
      </c>
    </row>
    <row r="452" spans="1:16" x14ac:dyDescent="0.3">
      <c r="A452" t="s">
        <v>870</v>
      </c>
      <c r="B452" t="s">
        <v>871</v>
      </c>
      <c r="C452" t="s">
        <v>55</v>
      </c>
      <c r="D452" t="s">
        <v>56</v>
      </c>
      <c r="E452" t="s">
        <v>35</v>
      </c>
      <c r="F452">
        <v>119</v>
      </c>
      <c r="G452">
        <v>293061</v>
      </c>
      <c r="H452">
        <v>2023</v>
      </c>
      <c r="I452">
        <v>1</v>
      </c>
      <c r="J452" t="s">
        <v>21</v>
      </c>
      <c r="K452">
        <v>1</v>
      </c>
      <c r="L452" t="s">
        <v>31</v>
      </c>
      <c r="M452">
        <v>1</v>
      </c>
      <c r="N452" t="b">
        <v>0</v>
      </c>
      <c r="O452" t="b">
        <v>1</v>
      </c>
      <c r="P452">
        <v>292087</v>
      </c>
    </row>
    <row r="453" spans="1:16" x14ac:dyDescent="0.3">
      <c r="A453" t="s">
        <v>870</v>
      </c>
      <c r="B453" t="s">
        <v>872</v>
      </c>
      <c r="C453" t="s">
        <v>18</v>
      </c>
      <c r="D453" t="s">
        <v>19</v>
      </c>
      <c r="E453" t="s">
        <v>20</v>
      </c>
      <c r="F453">
        <v>974</v>
      </c>
      <c r="G453">
        <v>293180</v>
      </c>
      <c r="H453">
        <v>2023</v>
      </c>
      <c r="I453">
        <v>1</v>
      </c>
      <c r="J453" t="s">
        <v>21</v>
      </c>
      <c r="K453">
        <v>1</v>
      </c>
      <c r="L453" t="s">
        <v>31</v>
      </c>
      <c r="M453">
        <v>1</v>
      </c>
      <c r="N453" t="b">
        <v>1</v>
      </c>
      <c r="O453" t="b">
        <v>0</v>
      </c>
      <c r="P453">
        <v>293061</v>
      </c>
    </row>
    <row r="454" spans="1:16" x14ac:dyDescent="0.3">
      <c r="A454" t="s">
        <v>873</v>
      </c>
      <c r="B454" t="s">
        <v>874</v>
      </c>
      <c r="C454" t="s">
        <v>18</v>
      </c>
      <c r="D454" t="s">
        <v>19</v>
      </c>
      <c r="E454" t="s">
        <v>20</v>
      </c>
      <c r="F454">
        <v>839</v>
      </c>
      <c r="G454">
        <v>293900</v>
      </c>
      <c r="H454">
        <v>2023</v>
      </c>
      <c r="I454">
        <v>1</v>
      </c>
      <c r="J454" t="s">
        <v>21</v>
      </c>
      <c r="K454">
        <v>1</v>
      </c>
      <c r="L454" t="s">
        <v>38</v>
      </c>
      <c r="M454">
        <v>2</v>
      </c>
      <c r="N454" t="b">
        <v>1</v>
      </c>
      <c r="O454" t="b">
        <v>0</v>
      </c>
      <c r="P454">
        <v>293900</v>
      </c>
    </row>
    <row r="455" spans="1:16" x14ac:dyDescent="0.3">
      <c r="A455" t="s">
        <v>873</v>
      </c>
      <c r="B455" t="s">
        <v>875</v>
      </c>
      <c r="C455" t="s">
        <v>137</v>
      </c>
      <c r="D455" t="s">
        <v>34</v>
      </c>
      <c r="E455" t="s">
        <v>35</v>
      </c>
      <c r="F455">
        <v>189</v>
      </c>
      <c r="G455">
        <v>293711</v>
      </c>
      <c r="H455">
        <v>2023</v>
      </c>
      <c r="I455">
        <v>1</v>
      </c>
      <c r="J455" t="s">
        <v>21</v>
      </c>
      <c r="K455">
        <v>1</v>
      </c>
      <c r="L455" t="s">
        <v>38</v>
      </c>
      <c r="M455">
        <v>2</v>
      </c>
      <c r="N455" t="b">
        <v>0</v>
      </c>
      <c r="O455" t="b">
        <v>1</v>
      </c>
      <c r="P455">
        <v>293711</v>
      </c>
    </row>
    <row r="456" spans="1:16" x14ac:dyDescent="0.3">
      <c r="A456" t="s">
        <v>876</v>
      </c>
      <c r="B456" t="s">
        <v>877</v>
      </c>
      <c r="C456" t="s">
        <v>18</v>
      </c>
      <c r="D456" t="s">
        <v>19</v>
      </c>
      <c r="E456" t="s">
        <v>20</v>
      </c>
      <c r="F456">
        <v>1081</v>
      </c>
      <c r="G456">
        <v>294792</v>
      </c>
      <c r="H456">
        <v>2023</v>
      </c>
      <c r="I456">
        <v>1</v>
      </c>
      <c r="J456" t="s">
        <v>21</v>
      </c>
      <c r="K456">
        <v>1</v>
      </c>
      <c r="L456" t="s">
        <v>41</v>
      </c>
      <c r="M456">
        <v>3</v>
      </c>
      <c r="N456" t="b">
        <v>1</v>
      </c>
      <c r="O456" t="b">
        <v>0</v>
      </c>
      <c r="P456">
        <v>294792</v>
      </c>
    </row>
    <row r="457" spans="1:16" x14ac:dyDescent="0.3">
      <c r="A457" t="s">
        <v>876</v>
      </c>
      <c r="B457" t="s">
        <v>878</v>
      </c>
      <c r="C457" t="s">
        <v>137</v>
      </c>
      <c r="D457" t="s">
        <v>34</v>
      </c>
      <c r="E457" t="s">
        <v>35</v>
      </c>
      <c r="F457">
        <v>455</v>
      </c>
      <c r="G457">
        <v>294337</v>
      </c>
      <c r="H457">
        <v>2023</v>
      </c>
      <c r="I457">
        <v>1</v>
      </c>
      <c r="J457" t="s">
        <v>21</v>
      </c>
      <c r="K457">
        <v>1</v>
      </c>
      <c r="L457" t="s">
        <v>41</v>
      </c>
      <c r="M457">
        <v>3</v>
      </c>
      <c r="N457" t="b">
        <v>0</v>
      </c>
      <c r="O457" t="b">
        <v>1</v>
      </c>
      <c r="P457">
        <v>294337</v>
      </c>
    </row>
    <row r="458" spans="1:16" x14ac:dyDescent="0.3">
      <c r="A458" t="s">
        <v>879</v>
      </c>
      <c r="B458" t="s">
        <v>880</v>
      </c>
      <c r="C458" t="s">
        <v>18</v>
      </c>
      <c r="D458" t="s">
        <v>19</v>
      </c>
      <c r="E458" t="s">
        <v>20</v>
      </c>
      <c r="F458">
        <v>1190</v>
      </c>
      <c r="G458">
        <v>295527</v>
      </c>
      <c r="H458">
        <v>2023</v>
      </c>
      <c r="I458">
        <v>1</v>
      </c>
      <c r="J458" t="s">
        <v>21</v>
      </c>
      <c r="K458">
        <v>1</v>
      </c>
      <c r="L458" t="s">
        <v>44</v>
      </c>
      <c r="M458">
        <v>4</v>
      </c>
      <c r="N458" t="b">
        <v>1</v>
      </c>
      <c r="O458" t="b">
        <v>0</v>
      </c>
      <c r="P458">
        <v>295527</v>
      </c>
    </row>
    <row r="459" spans="1:16" x14ac:dyDescent="0.3">
      <c r="A459" t="s">
        <v>881</v>
      </c>
      <c r="B459" t="s">
        <v>882</v>
      </c>
      <c r="C459" t="s">
        <v>18</v>
      </c>
      <c r="D459" t="s">
        <v>19</v>
      </c>
      <c r="E459" t="s">
        <v>20</v>
      </c>
      <c r="F459">
        <v>1089</v>
      </c>
      <c r="G459">
        <v>296616</v>
      </c>
      <c r="H459">
        <v>2023</v>
      </c>
      <c r="I459">
        <v>1</v>
      </c>
      <c r="J459" t="s">
        <v>21</v>
      </c>
      <c r="K459">
        <v>1</v>
      </c>
      <c r="L459" t="s">
        <v>22</v>
      </c>
      <c r="M459">
        <v>5</v>
      </c>
      <c r="N459" t="b">
        <v>1</v>
      </c>
      <c r="O459" t="b">
        <v>0</v>
      </c>
      <c r="P459">
        <v>296616</v>
      </c>
    </row>
    <row r="460" spans="1:16" x14ac:dyDescent="0.3">
      <c r="A460" t="s">
        <v>883</v>
      </c>
      <c r="B460" t="s">
        <v>884</v>
      </c>
      <c r="C460" t="s">
        <v>18</v>
      </c>
      <c r="D460" t="s">
        <v>19</v>
      </c>
      <c r="E460" t="s">
        <v>20</v>
      </c>
      <c r="F460">
        <v>709</v>
      </c>
      <c r="G460">
        <v>297325</v>
      </c>
      <c r="H460">
        <v>2023</v>
      </c>
      <c r="I460">
        <v>1</v>
      </c>
      <c r="J460" t="s">
        <v>21</v>
      </c>
      <c r="K460">
        <v>1</v>
      </c>
      <c r="L460" t="s">
        <v>25</v>
      </c>
      <c r="M460">
        <v>6</v>
      </c>
      <c r="N460" t="b">
        <v>1</v>
      </c>
      <c r="O460" t="b">
        <v>0</v>
      </c>
      <c r="P460">
        <v>297325</v>
      </c>
    </row>
    <row r="461" spans="1:16" x14ac:dyDescent="0.3">
      <c r="A461" t="s">
        <v>885</v>
      </c>
      <c r="B461" t="s">
        <v>886</v>
      </c>
      <c r="C461" t="s">
        <v>18</v>
      </c>
      <c r="D461" t="s">
        <v>19</v>
      </c>
      <c r="E461" t="s">
        <v>20</v>
      </c>
      <c r="F461">
        <v>837</v>
      </c>
      <c r="G461">
        <v>298162</v>
      </c>
      <c r="H461">
        <v>2023</v>
      </c>
      <c r="I461">
        <v>1</v>
      </c>
      <c r="J461" t="s">
        <v>21</v>
      </c>
      <c r="K461">
        <v>1</v>
      </c>
      <c r="L461" t="s">
        <v>28</v>
      </c>
      <c r="M461">
        <v>0</v>
      </c>
      <c r="N461" t="b">
        <v>1</v>
      </c>
      <c r="O461" t="b">
        <v>0</v>
      </c>
      <c r="P461">
        <v>298162</v>
      </c>
    </row>
    <row r="462" spans="1:16" x14ac:dyDescent="0.3">
      <c r="A462" t="s">
        <v>887</v>
      </c>
      <c r="B462" t="s">
        <v>888</v>
      </c>
      <c r="C462" t="s">
        <v>18</v>
      </c>
      <c r="D462" t="s">
        <v>19</v>
      </c>
      <c r="E462" t="s">
        <v>20</v>
      </c>
      <c r="F462">
        <v>712</v>
      </c>
      <c r="G462">
        <v>298874</v>
      </c>
      <c r="H462">
        <v>2023</v>
      </c>
      <c r="I462">
        <v>1</v>
      </c>
      <c r="J462" t="s">
        <v>21</v>
      </c>
      <c r="K462">
        <v>1</v>
      </c>
      <c r="L462" t="s">
        <v>31</v>
      </c>
      <c r="M462">
        <v>1</v>
      </c>
      <c r="N462" t="b">
        <v>1</v>
      </c>
      <c r="O462" t="b">
        <v>0</v>
      </c>
      <c r="P462">
        <v>298874</v>
      </c>
    </row>
    <row r="463" spans="1:16" x14ac:dyDescent="0.3">
      <c r="A463" t="s">
        <v>889</v>
      </c>
      <c r="B463" t="s">
        <v>890</v>
      </c>
      <c r="C463" t="s">
        <v>18</v>
      </c>
      <c r="D463" t="s">
        <v>19</v>
      </c>
      <c r="E463" t="s">
        <v>20</v>
      </c>
      <c r="F463">
        <v>783</v>
      </c>
      <c r="G463">
        <v>299657</v>
      </c>
      <c r="H463">
        <v>2023</v>
      </c>
      <c r="I463">
        <v>1</v>
      </c>
      <c r="J463" t="s">
        <v>21</v>
      </c>
      <c r="K463">
        <v>1</v>
      </c>
      <c r="L463" t="s">
        <v>38</v>
      </c>
      <c r="M463">
        <v>2</v>
      </c>
      <c r="N463" t="b">
        <v>1</v>
      </c>
      <c r="O463" t="b">
        <v>0</v>
      </c>
      <c r="P463">
        <v>299657</v>
      </c>
    </row>
    <row r="464" spans="1:16" x14ac:dyDescent="0.3">
      <c r="A464" t="s">
        <v>891</v>
      </c>
      <c r="B464" t="s">
        <v>892</v>
      </c>
      <c r="C464" t="s">
        <v>33</v>
      </c>
      <c r="D464" t="s">
        <v>34</v>
      </c>
      <c r="E464" t="s">
        <v>35</v>
      </c>
      <c r="F464">
        <v>364</v>
      </c>
      <c r="G464">
        <v>300093</v>
      </c>
      <c r="H464">
        <v>2023</v>
      </c>
      <c r="I464">
        <v>1</v>
      </c>
      <c r="J464" t="s">
        <v>21</v>
      </c>
      <c r="K464">
        <v>1</v>
      </c>
      <c r="L464" t="s">
        <v>41</v>
      </c>
      <c r="M464">
        <v>3</v>
      </c>
      <c r="N464" t="b">
        <v>0</v>
      </c>
      <c r="O464" t="b">
        <v>1</v>
      </c>
      <c r="P464">
        <v>299293</v>
      </c>
    </row>
    <row r="465" spans="1:16" x14ac:dyDescent="0.3">
      <c r="A465" t="s">
        <v>891</v>
      </c>
      <c r="B465" t="s">
        <v>893</v>
      </c>
      <c r="C465" t="s">
        <v>18</v>
      </c>
      <c r="D465" t="s">
        <v>19</v>
      </c>
      <c r="E465" t="s">
        <v>20</v>
      </c>
      <c r="F465">
        <v>800</v>
      </c>
      <c r="G465">
        <v>300457</v>
      </c>
      <c r="H465">
        <v>2023</v>
      </c>
      <c r="I465">
        <v>1</v>
      </c>
      <c r="J465" t="s">
        <v>21</v>
      </c>
      <c r="K465">
        <v>1</v>
      </c>
      <c r="L465" t="s">
        <v>41</v>
      </c>
      <c r="M465">
        <v>3</v>
      </c>
      <c r="N465" t="b">
        <v>1</v>
      </c>
      <c r="O465" t="b">
        <v>0</v>
      </c>
      <c r="P465">
        <v>300093</v>
      </c>
    </row>
    <row r="466" spans="1:16" x14ac:dyDescent="0.3">
      <c r="A466" t="s">
        <v>894</v>
      </c>
      <c r="B466" t="s">
        <v>895</v>
      </c>
      <c r="C466" t="s">
        <v>18</v>
      </c>
      <c r="D466" t="s">
        <v>19</v>
      </c>
      <c r="E466" t="s">
        <v>20</v>
      </c>
      <c r="F466">
        <v>1098</v>
      </c>
      <c r="G466">
        <v>301191</v>
      </c>
      <c r="H466">
        <v>2023</v>
      </c>
      <c r="I466">
        <v>1</v>
      </c>
      <c r="J466" t="s">
        <v>21</v>
      </c>
      <c r="K466">
        <v>1</v>
      </c>
      <c r="L466" t="s">
        <v>44</v>
      </c>
      <c r="M466">
        <v>4</v>
      </c>
      <c r="N466" t="b">
        <v>1</v>
      </c>
      <c r="O466" t="b">
        <v>0</v>
      </c>
      <c r="P466">
        <v>301191</v>
      </c>
    </row>
    <row r="467" spans="1:16" x14ac:dyDescent="0.3">
      <c r="A467" t="s">
        <v>896</v>
      </c>
      <c r="B467" t="s">
        <v>897</v>
      </c>
      <c r="C467" t="s">
        <v>18</v>
      </c>
      <c r="D467" t="s">
        <v>19</v>
      </c>
      <c r="E467" t="s">
        <v>20</v>
      </c>
      <c r="F467">
        <v>1118</v>
      </c>
      <c r="G467">
        <v>302309</v>
      </c>
      <c r="H467">
        <v>2023</v>
      </c>
      <c r="I467">
        <v>1</v>
      </c>
      <c r="J467" t="s">
        <v>21</v>
      </c>
      <c r="K467">
        <v>1</v>
      </c>
      <c r="L467" t="s">
        <v>22</v>
      </c>
      <c r="M467">
        <v>5</v>
      </c>
      <c r="N467" t="b">
        <v>1</v>
      </c>
      <c r="O467" t="b">
        <v>0</v>
      </c>
      <c r="P467">
        <v>302309</v>
      </c>
    </row>
    <row r="468" spans="1:16" x14ac:dyDescent="0.3">
      <c r="A468" t="s">
        <v>898</v>
      </c>
      <c r="B468" t="s">
        <v>899</v>
      </c>
      <c r="C468" t="s">
        <v>18</v>
      </c>
      <c r="D468" t="s">
        <v>19</v>
      </c>
      <c r="E468" t="s">
        <v>20</v>
      </c>
      <c r="F468">
        <v>1004</v>
      </c>
      <c r="G468">
        <v>303313</v>
      </c>
      <c r="H468">
        <v>2023</v>
      </c>
      <c r="I468">
        <v>1</v>
      </c>
      <c r="J468" t="s">
        <v>21</v>
      </c>
      <c r="K468">
        <v>1</v>
      </c>
      <c r="L468" t="s">
        <v>25</v>
      </c>
      <c r="M468">
        <v>6</v>
      </c>
      <c r="N468" t="b">
        <v>1</v>
      </c>
      <c r="O468" t="b">
        <v>0</v>
      </c>
      <c r="P468">
        <v>303313</v>
      </c>
    </row>
    <row r="469" spans="1:16" x14ac:dyDescent="0.3">
      <c r="A469" t="s">
        <v>900</v>
      </c>
      <c r="B469" t="s">
        <v>901</v>
      </c>
      <c r="C469" t="s">
        <v>18</v>
      </c>
      <c r="D469" t="s">
        <v>19</v>
      </c>
      <c r="E469" t="s">
        <v>20</v>
      </c>
      <c r="F469">
        <v>1143</v>
      </c>
      <c r="G469">
        <v>304456</v>
      </c>
      <c r="H469">
        <v>2023</v>
      </c>
      <c r="I469">
        <v>1</v>
      </c>
      <c r="J469" t="s">
        <v>21</v>
      </c>
      <c r="K469">
        <v>1</v>
      </c>
      <c r="L469" t="s">
        <v>28</v>
      </c>
      <c r="M469">
        <v>0</v>
      </c>
      <c r="N469" t="b">
        <v>1</v>
      </c>
      <c r="O469" t="b">
        <v>0</v>
      </c>
      <c r="P469">
        <v>304456</v>
      </c>
    </row>
    <row r="470" spans="1:16" x14ac:dyDescent="0.3">
      <c r="A470" t="s">
        <v>902</v>
      </c>
      <c r="B470" t="s">
        <v>903</v>
      </c>
      <c r="C470" t="s">
        <v>18</v>
      </c>
      <c r="D470" t="s">
        <v>19</v>
      </c>
      <c r="E470" t="s">
        <v>20</v>
      </c>
      <c r="F470">
        <v>1033</v>
      </c>
      <c r="G470">
        <v>305489</v>
      </c>
      <c r="H470">
        <v>2023</v>
      </c>
      <c r="I470">
        <v>1</v>
      </c>
      <c r="J470" t="s">
        <v>21</v>
      </c>
      <c r="K470">
        <v>1</v>
      </c>
      <c r="L470" t="s">
        <v>31</v>
      </c>
      <c r="M470">
        <v>1</v>
      </c>
      <c r="N470" t="b">
        <v>1</v>
      </c>
      <c r="O470" t="b">
        <v>0</v>
      </c>
      <c r="P470">
        <v>305489</v>
      </c>
    </row>
    <row r="471" spans="1:16" x14ac:dyDescent="0.3">
      <c r="A471" t="s">
        <v>904</v>
      </c>
      <c r="B471" t="s">
        <v>905</v>
      </c>
      <c r="C471" t="s">
        <v>18</v>
      </c>
      <c r="D471" t="s">
        <v>19</v>
      </c>
      <c r="E471" t="s">
        <v>20</v>
      </c>
      <c r="F471">
        <v>1158</v>
      </c>
      <c r="G471">
        <v>306647</v>
      </c>
      <c r="H471">
        <v>2023</v>
      </c>
      <c r="I471">
        <v>1</v>
      </c>
      <c r="J471" t="s">
        <v>21</v>
      </c>
      <c r="K471">
        <v>1</v>
      </c>
      <c r="L471" t="s">
        <v>38</v>
      </c>
      <c r="M471">
        <v>2</v>
      </c>
      <c r="N471" t="b">
        <v>1</v>
      </c>
      <c r="O471" t="b">
        <v>0</v>
      </c>
      <c r="P471">
        <v>306647</v>
      </c>
    </row>
    <row r="472" spans="1:16" x14ac:dyDescent="0.3">
      <c r="A472" t="s">
        <v>906</v>
      </c>
      <c r="B472" t="s">
        <v>907</v>
      </c>
      <c r="C472" t="s">
        <v>18</v>
      </c>
      <c r="D472" t="s">
        <v>19</v>
      </c>
      <c r="E472" t="s">
        <v>20</v>
      </c>
      <c r="F472">
        <v>775</v>
      </c>
      <c r="G472">
        <v>307422</v>
      </c>
      <c r="H472">
        <v>2023</v>
      </c>
      <c r="I472">
        <v>1</v>
      </c>
      <c r="J472" t="s">
        <v>21</v>
      </c>
      <c r="K472">
        <v>1</v>
      </c>
      <c r="L472" t="s">
        <v>41</v>
      </c>
      <c r="M472">
        <v>3</v>
      </c>
      <c r="N472" t="b">
        <v>1</v>
      </c>
      <c r="O472" t="b">
        <v>0</v>
      </c>
      <c r="P472">
        <v>307422</v>
      </c>
    </row>
    <row r="473" spans="1:16" x14ac:dyDescent="0.3">
      <c r="A473" t="s">
        <v>908</v>
      </c>
      <c r="B473" t="s">
        <v>909</v>
      </c>
      <c r="C473" t="s">
        <v>18</v>
      </c>
      <c r="D473" t="s">
        <v>19</v>
      </c>
      <c r="E473" t="s">
        <v>20</v>
      </c>
      <c r="F473">
        <v>700</v>
      </c>
      <c r="G473">
        <v>308122</v>
      </c>
      <c r="H473">
        <v>2023</v>
      </c>
      <c r="I473">
        <v>1</v>
      </c>
      <c r="J473" t="s">
        <v>21</v>
      </c>
      <c r="K473">
        <v>1</v>
      </c>
      <c r="L473" t="s">
        <v>44</v>
      </c>
      <c r="M473">
        <v>4</v>
      </c>
      <c r="N473" t="b">
        <v>1</v>
      </c>
      <c r="O473" t="b">
        <v>0</v>
      </c>
      <c r="P473">
        <v>308122</v>
      </c>
    </row>
    <row r="474" spans="1:16" x14ac:dyDescent="0.3">
      <c r="A474" t="s">
        <v>910</v>
      </c>
      <c r="B474" t="s">
        <v>911</v>
      </c>
      <c r="C474" t="s">
        <v>18</v>
      </c>
      <c r="D474" t="s">
        <v>19</v>
      </c>
      <c r="E474" t="s">
        <v>20</v>
      </c>
      <c r="F474">
        <v>1105</v>
      </c>
      <c r="G474">
        <v>309227</v>
      </c>
      <c r="H474">
        <v>2023</v>
      </c>
      <c r="I474">
        <v>1</v>
      </c>
      <c r="J474" t="s">
        <v>21</v>
      </c>
      <c r="K474">
        <v>1</v>
      </c>
      <c r="L474" t="s">
        <v>22</v>
      </c>
      <c r="M474">
        <v>5</v>
      </c>
      <c r="N474" t="b">
        <v>1</v>
      </c>
      <c r="O474" t="b">
        <v>0</v>
      </c>
      <c r="P474">
        <v>309227</v>
      </c>
    </row>
    <row r="475" spans="1:16" x14ac:dyDescent="0.3">
      <c r="A475" t="s">
        <v>910</v>
      </c>
      <c r="B475" t="s">
        <v>912</v>
      </c>
      <c r="C475" t="s">
        <v>33</v>
      </c>
      <c r="D475" t="s">
        <v>34</v>
      </c>
      <c r="E475" t="s">
        <v>35</v>
      </c>
      <c r="F475">
        <v>448</v>
      </c>
      <c r="G475">
        <v>308779</v>
      </c>
      <c r="H475">
        <v>2023</v>
      </c>
      <c r="I475">
        <v>1</v>
      </c>
      <c r="J475" t="s">
        <v>21</v>
      </c>
      <c r="K475">
        <v>1</v>
      </c>
      <c r="L475" t="s">
        <v>22</v>
      </c>
      <c r="M475">
        <v>5</v>
      </c>
      <c r="N475" t="b">
        <v>0</v>
      </c>
      <c r="O475" t="b">
        <v>1</v>
      </c>
      <c r="P475">
        <v>308779</v>
      </c>
    </row>
    <row r="476" spans="1:16" x14ac:dyDescent="0.3">
      <c r="A476" t="s">
        <v>913</v>
      </c>
      <c r="B476" t="s">
        <v>914</v>
      </c>
      <c r="C476" t="s">
        <v>18</v>
      </c>
      <c r="D476" t="s">
        <v>19</v>
      </c>
      <c r="E476" t="s">
        <v>20</v>
      </c>
      <c r="F476">
        <v>1060</v>
      </c>
      <c r="G476">
        <v>309839</v>
      </c>
      <c r="H476">
        <v>2023</v>
      </c>
      <c r="I476">
        <v>1</v>
      </c>
      <c r="J476" t="s">
        <v>21</v>
      </c>
      <c r="K476">
        <v>1</v>
      </c>
      <c r="L476" t="s">
        <v>25</v>
      </c>
      <c r="M476">
        <v>6</v>
      </c>
      <c r="N476" t="b">
        <v>1</v>
      </c>
      <c r="O476" t="b">
        <v>0</v>
      </c>
      <c r="P476">
        <v>309839</v>
      </c>
    </row>
    <row r="477" spans="1:16" x14ac:dyDescent="0.3">
      <c r="A477" t="s">
        <v>915</v>
      </c>
      <c r="B477" t="s">
        <v>916</v>
      </c>
      <c r="C477" t="s">
        <v>18</v>
      </c>
      <c r="D477" t="s">
        <v>19</v>
      </c>
      <c r="E477" t="s">
        <v>20</v>
      </c>
      <c r="F477">
        <v>1015</v>
      </c>
      <c r="G477">
        <v>310854</v>
      </c>
      <c r="H477">
        <v>2023</v>
      </c>
      <c r="I477">
        <v>1</v>
      </c>
      <c r="J477" t="s">
        <v>21</v>
      </c>
      <c r="K477">
        <v>1</v>
      </c>
      <c r="L477" t="s">
        <v>28</v>
      </c>
      <c r="M477">
        <v>0</v>
      </c>
      <c r="N477" t="b">
        <v>1</v>
      </c>
      <c r="O477" t="b">
        <v>0</v>
      </c>
      <c r="P477">
        <v>310854</v>
      </c>
    </row>
    <row r="478" spans="1:16" x14ac:dyDescent="0.3">
      <c r="A478" t="s">
        <v>915</v>
      </c>
      <c r="B478" t="s">
        <v>917</v>
      </c>
      <c r="C478" t="s">
        <v>137</v>
      </c>
      <c r="D478" t="s">
        <v>34</v>
      </c>
      <c r="E478" t="s">
        <v>35</v>
      </c>
      <c r="F478">
        <v>312</v>
      </c>
      <c r="G478">
        <v>310542</v>
      </c>
      <c r="H478">
        <v>2023</v>
      </c>
      <c r="I478">
        <v>1</v>
      </c>
      <c r="J478" t="s">
        <v>21</v>
      </c>
      <c r="K478">
        <v>1</v>
      </c>
      <c r="L478" t="s">
        <v>28</v>
      </c>
      <c r="M478">
        <v>0</v>
      </c>
      <c r="N478" t="b">
        <v>0</v>
      </c>
      <c r="O478" t="b">
        <v>1</v>
      </c>
      <c r="P478">
        <v>310542</v>
      </c>
    </row>
    <row r="479" spans="1:16" x14ac:dyDescent="0.3">
      <c r="A479" t="s">
        <v>918</v>
      </c>
      <c r="B479" t="s">
        <v>919</v>
      </c>
      <c r="C479" t="s">
        <v>18</v>
      </c>
      <c r="D479" t="s">
        <v>19</v>
      </c>
      <c r="E479" t="s">
        <v>20</v>
      </c>
      <c r="F479">
        <v>704</v>
      </c>
      <c r="G479">
        <v>311246</v>
      </c>
      <c r="H479">
        <v>2023</v>
      </c>
      <c r="I479">
        <v>1</v>
      </c>
      <c r="J479" t="s">
        <v>21</v>
      </c>
      <c r="K479">
        <v>1</v>
      </c>
      <c r="L479" t="s">
        <v>31</v>
      </c>
      <c r="M479">
        <v>1</v>
      </c>
      <c r="N479" t="b">
        <v>1</v>
      </c>
      <c r="O479" t="b">
        <v>0</v>
      </c>
      <c r="P479">
        <v>311246</v>
      </c>
    </row>
    <row r="480" spans="1:16" x14ac:dyDescent="0.3">
      <c r="A480" t="s">
        <v>920</v>
      </c>
      <c r="B480" t="s">
        <v>921</v>
      </c>
      <c r="C480" t="s">
        <v>18</v>
      </c>
      <c r="D480" t="s">
        <v>19</v>
      </c>
      <c r="E480" t="s">
        <v>20</v>
      </c>
      <c r="F480">
        <v>777</v>
      </c>
      <c r="G480">
        <v>312023</v>
      </c>
      <c r="H480">
        <v>2023</v>
      </c>
      <c r="I480">
        <v>2</v>
      </c>
      <c r="J480" t="s">
        <v>107</v>
      </c>
      <c r="K480">
        <v>1</v>
      </c>
      <c r="L480" t="s">
        <v>38</v>
      </c>
      <c r="M480">
        <v>2</v>
      </c>
      <c r="N480" t="b">
        <v>1</v>
      </c>
      <c r="O480" t="b">
        <v>0</v>
      </c>
      <c r="P480">
        <v>312023</v>
      </c>
    </row>
    <row r="481" spans="1:16" x14ac:dyDescent="0.3">
      <c r="A481" t="s">
        <v>922</v>
      </c>
      <c r="B481" t="s">
        <v>923</v>
      </c>
      <c r="C481" t="s">
        <v>18</v>
      </c>
      <c r="D481" t="s">
        <v>19</v>
      </c>
      <c r="E481" t="s">
        <v>20</v>
      </c>
      <c r="F481">
        <v>831</v>
      </c>
      <c r="G481">
        <v>312854</v>
      </c>
      <c r="H481">
        <v>2023</v>
      </c>
      <c r="I481">
        <v>2</v>
      </c>
      <c r="J481" t="s">
        <v>107</v>
      </c>
      <c r="K481">
        <v>1</v>
      </c>
      <c r="L481" t="s">
        <v>41</v>
      </c>
      <c r="M481">
        <v>3</v>
      </c>
      <c r="N481" t="b">
        <v>1</v>
      </c>
      <c r="O481" t="b">
        <v>0</v>
      </c>
      <c r="P481">
        <v>312854</v>
      </c>
    </row>
    <row r="482" spans="1:16" x14ac:dyDescent="0.3">
      <c r="A482" t="s">
        <v>924</v>
      </c>
      <c r="B482" t="s">
        <v>925</v>
      </c>
      <c r="C482" t="s">
        <v>18</v>
      </c>
      <c r="D482" t="s">
        <v>19</v>
      </c>
      <c r="E482" t="s">
        <v>20</v>
      </c>
      <c r="F482">
        <v>741</v>
      </c>
      <c r="G482">
        <v>313595</v>
      </c>
      <c r="H482">
        <v>2023</v>
      </c>
      <c r="I482">
        <v>2</v>
      </c>
      <c r="J482" t="s">
        <v>107</v>
      </c>
      <c r="K482">
        <v>1</v>
      </c>
      <c r="L482" t="s">
        <v>44</v>
      </c>
      <c r="M482">
        <v>4</v>
      </c>
      <c r="N482" t="b">
        <v>1</v>
      </c>
      <c r="O482" t="b">
        <v>0</v>
      </c>
      <c r="P482">
        <v>313595</v>
      </c>
    </row>
    <row r="483" spans="1:16" x14ac:dyDescent="0.3">
      <c r="A483" t="s">
        <v>926</v>
      </c>
      <c r="B483" t="s">
        <v>927</v>
      </c>
      <c r="C483" t="s">
        <v>18</v>
      </c>
      <c r="D483" t="s">
        <v>19</v>
      </c>
      <c r="E483" t="s">
        <v>20</v>
      </c>
      <c r="F483">
        <v>995</v>
      </c>
      <c r="G483">
        <v>314590</v>
      </c>
      <c r="H483">
        <v>2023</v>
      </c>
      <c r="I483">
        <v>2</v>
      </c>
      <c r="J483" t="s">
        <v>107</v>
      </c>
      <c r="K483">
        <v>1</v>
      </c>
      <c r="L483" t="s">
        <v>22</v>
      </c>
      <c r="M483">
        <v>5</v>
      </c>
      <c r="N483" t="b">
        <v>1</v>
      </c>
      <c r="O483" t="b">
        <v>0</v>
      </c>
      <c r="P483">
        <v>314590</v>
      </c>
    </row>
    <row r="484" spans="1:16" x14ac:dyDescent="0.3">
      <c r="A484" t="s">
        <v>928</v>
      </c>
      <c r="B484" t="s">
        <v>929</v>
      </c>
      <c r="C484" t="s">
        <v>18</v>
      </c>
      <c r="D484" t="s">
        <v>19</v>
      </c>
      <c r="E484" t="s">
        <v>20</v>
      </c>
      <c r="F484">
        <v>803</v>
      </c>
      <c r="G484">
        <v>315393</v>
      </c>
      <c r="H484">
        <v>2023</v>
      </c>
      <c r="I484">
        <v>2</v>
      </c>
      <c r="J484" t="s">
        <v>107</v>
      </c>
      <c r="K484">
        <v>1</v>
      </c>
      <c r="L484" t="s">
        <v>25</v>
      </c>
      <c r="M484">
        <v>6</v>
      </c>
      <c r="N484" t="b">
        <v>1</v>
      </c>
      <c r="O484" t="b">
        <v>0</v>
      </c>
      <c r="P484">
        <v>315393</v>
      </c>
    </row>
    <row r="485" spans="1:16" x14ac:dyDescent="0.3">
      <c r="A485" t="s">
        <v>930</v>
      </c>
      <c r="B485" t="s">
        <v>931</v>
      </c>
      <c r="C485" t="s">
        <v>18</v>
      </c>
      <c r="D485" t="s">
        <v>19</v>
      </c>
      <c r="E485" t="s">
        <v>20</v>
      </c>
      <c r="F485">
        <v>878</v>
      </c>
      <c r="G485">
        <v>316271</v>
      </c>
      <c r="H485">
        <v>2023</v>
      </c>
      <c r="I485">
        <v>2</v>
      </c>
      <c r="J485" t="s">
        <v>107</v>
      </c>
      <c r="K485">
        <v>1</v>
      </c>
      <c r="L485" t="s">
        <v>28</v>
      </c>
      <c r="M485">
        <v>0</v>
      </c>
      <c r="N485" t="b">
        <v>1</v>
      </c>
      <c r="O485" t="b">
        <v>0</v>
      </c>
      <c r="P485">
        <v>316271</v>
      </c>
    </row>
    <row r="486" spans="1:16" x14ac:dyDescent="0.3">
      <c r="A486" t="s">
        <v>932</v>
      </c>
      <c r="B486" t="s">
        <v>933</v>
      </c>
      <c r="C486" t="s">
        <v>18</v>
      </c>
      <c r="D486" t="s">
        <v>19</v>
      </c>
      <c r="E486" t="s">
        <v>20</v>
      </c>
      <c r="F486">
        <v>1052</v>
      </c>
      <c r="G486">
        <v>317323</v>
      </c>
      <c r="H486">
        <v>2023</v>
      </c>
      <c r="I486">
        <v>2</v>
      </c>
      <c r="J486" t="s">
        <v>107</v>
      </c>
      <c r="K486">
        <v>1</v>
      </c>
      <c r="L486" t="s">
        <v>31</v>
      </c>
      <c r="M486">
        <v>1</v>
      </c>
      <c r="N486" t="b">
        <v>1</v>
      </c>
      <c r="O486" t="b">
        <v>0</v>
      </c>
      <c r="P486">
        <v>317323</v>
      </c>
    </row>
    <row r="487" spans="1:16" x14ac:dyDescent="0.3">
      <c r="A487" t="s">
        <v>934</v>
      </c>
      <c r="B487" t="s">
        <v>935</v>
      </c>
      <c r="C487" t="s">
        <v>18</v>
      </c>
      <c r="D487" t="s">
        <v>19</v>
      </c>
      <c r="E487" t="s">
        <v>20</v>
      </c>
      <c r="F487">
        <v>842</v>
      </c>
      <c r="G487">
        <v>318165</v>
      </c>
      <c r="H487">
        <v>2023</v>
      </c>
      <c r="I487">
        <v>2</v>
      </c>
      <c r="J487" t="s">
        <v>107</v>
      </c>
      <c r="K487">
        <v>1</v>
      </c>
      <c r="L487" t="s">
        <v>38</v>
      </c>
      <c r="M487">
        <v>2</v>
      </c>
      <c r="N487" t="b">
        <v>1</v>
      </c>
      <c r="O487" t="b">
        <v>0</v>
      </c>
      <c r="P487">
        <v>318165</v>
      </c>
    </row>
    <row r="488" spans="1:16" x14ac:dyDescent="0.3">
      <c r="A488" t="s">
        <v>936</v>
      </c>
      <c r="B488" t="s">
        <v>937</v>
      </c>
      <c r="C488" t="s">
        <v>18</v>
      </c>
      <c r="D488" t="s">
        <v>19</v>
      </c>
      <c r="E488" t="s">
        <v>20</v>
      </c>
      <c r="F488">
        <v>844</v>
      </c>
      <c r="G488">
        <v>319009</v>
      </c>
      <c r="H488">
        <v>2023</v>
      </c>
      <c r="I488">
        <v>2</v>
      </c>
      <c r="J488" t="s">
        <v>107</v>
      </c>
      <c r="K488">
        <v>1</v>
      </c>
      <c r="L488" t="s">
        <v>41</v>
      </c>
      <c r="M488">
        <v>3</v>
      </c>
      <c r="N488" t="b">
        <v>1</v>
      </c>
      <c r="O488" t="b">
        <v>0</v>
      </c>
      <c r="P488">
        <v>319009</v>
      </c>
    </row>
    <row r="489" spans="1:16" x14ac:dyDescent="0.3">
      <c r="A489" t="s">
        <v>938</v>
      </c>
      <c r="B489" t="s">
        <v>939</v>
      </c>
      <c r="C489" t="s">
        <v>18</v>
      </c>
      <c r="D489" t="s">
        <v>19</v>
      </c>
      <c r="E489" t="s">
        <v>20</v>
      </c>
      <c r="F489">
        <v>1149</v>
      </c>
      <c r="G489">
        <v>320158</v>
      </c>
      <c r="H489">
        <v>2023</v>
      </c>
      <c r="I489">
        <v>2</v>
      </c>
      <c r="J489" t="s">
        <v>107</v>
      </c>
      <c r="K489">
        <v>1</v>
      </c>
      <c r="L489" t="s">
        <v>44</v>
      </c>
      <c r="M489">
        <v>4</v>
      </c>
      <c r="N489" t="b">
        <v>1</v>
      </c>
      <c r="O489" t="b">
        <v>0</v>
      </c>
      <c r="P489">
        <v>320158</v>
      </c>
    </row>
    <row r="490" spans="1:16" x14ac:dyDescent="0.3">
      <c r="A490" t="s">
        <v>940</v>
      </c>
      <c r="B490" t="s">
        <v>941</v>
      </c>
      <c r="C490" t="s">
        <v>18</v>
      </c>
      <c r="D490" t="s">
        <v>19</v>
      </c>
      <c r="E490" t="s">
        <v>20</v>
      </c>
      <c r="F490">
        <v>803</v>
      </c>
      <c r="G490">
        <v>320961</v>
      </c>
      <c r="H490">
        <v>2023</v>
      </c>
      <c r="I490">
        <v>2</v>
      </c>
      <c r="J490" t="s">
        <v>107</v>
      </c>
      <c r="K490">
        <v>1</v>
      </c>
      <c r="L490" t="s">
        <v>22</v>
      </c>
      <c r="M490">
        <v>5</v>
      </c>
      <c r="N490" t="b">
        <v>1</v>
      </c>
      <c r="O490" t="b">
        <v>0</v>
      </c>
      <c r="P490">
        <v>320961</v>
      </c>
    </row>
    <row r="491" spans="1:16" x14ac:dyDescent="0.3">
      <c r="A491" t="s">
        <v>942</v>
      </c>
      <c r="B491" t="s">
        <v>943</v>
      </c>
      <c r="C491" t="s">
        <v>18</v>
      </c>
      <c r="D491" t="s">
        <v>19</v>
      </c>
      <c r="E491" t="s">
        <v>20</v>
      </c>
      <c r="F491">
        <v>738</v>
      </c>
      <c r="G491">
        <v>321699</v>
      </c>
      <c r="H491">
        <v>2023</v>
      </c>
      <c r="I491">
        <v>2</v>
      </c>
      <c r="J491" t="s">
        <v>107</v>
      </c>
      <c r="K491">
        <v>1</v>
      </c>
      <c r="L491" t="s">
        <v>25</v>
      </c>
      <c r="M491">
        <v>6</v>
      </c>
      <c r="N491" t="b">
        <v>1</v>
      </c>
      <c r="O491" t="b">
        <v>0</v>
      </c>
      <c r="P491">
        <v>321699</v>
      </c>
    </row>
    <row r="492" spans="1:16" x14ac:dyDescent="0.3">
      <c r="A492" t="s">
        <v>942</v>
      </c>
      <c r="B492" t="s">
        <v>944</v>
      </c>
      <c r="C492" t="s">
        <v>33</v>
      </c>
      <c r="D492" t="s">
        <v>34</v>
      </c>
      <c r="E492" t="s">
        <v>35</v>
      </c>
      <c r="F492">
        <v>233</v>
      </c>
      <c r="G492">
        <v>321466</v>
      </c>
      <c r="H492">
        <v>2023</v>
      </c>
      <c r="I492">
        <v>2</v>
      </c>
      <c r="J492" t="s">
        <v>107</v>
      </c>
      <c r="K492">
        <v>1</v>
      </c>
      <c r="L492" t="s">
        <v>25</v>
      </c>
      <c r="M492">
        <v>6</v>
      </c>
      <c r="N492" t="b">
        <v>0</v>
      </c>
      <c r="O492" t="b">
        <v>1</v>
      </c>
      <c r="P492">
        <v>321466</v>
      </c>
    </row>
    <row r="493" spans="1:16" x14ac:dyDescent="0.3">
      <c r="A493" t="s">
        <v>945</v>
      </c>
      <c r="B493" t="s">
        <v>946</v>
      </c>
      <c r="C493" t="s">
        <v>18</v>
      </c>
      <c r="D493" t="s">
        <v>19</v>
      </c>
      <c r="E493" t="s">
        <v>20</v>
      </c>
      <c r="F493">
        <v>1090</v>
      </c>
      <c r="G493">
        <v>322556</v>
      </c>
      <c r="H493">
        <v>2023</v>
      </c>
      <c r="I493">
        <v>2</v>
      </c>
      <c r="J493" t="s">
        <v>107</v>
      </c>
      <c r="K493">
        <v>1</v>
      </c>
      <c r="L493" t="s">
        <v>28</v>
      </c>
      <c r="M493">
        <v>0</v>
      </c>
      <c r="N493" t="b">
        <v>1</v>
      </c>
      <c r="O493" t="b">
        <v>0</v>
      </c>
      <c r="P493">
        <v>322556</v>
      </c>
    </row>
    <row r="494" spans="1:16" x14ac:dyDescent="0.3">
      <c r="A494" t="s">
        <v>947</v>
      </c>
      <c r="B494" t="s">
        <v>948</v>
      </c>
      <c r="C494" t="s">
        <v>137</v>
      </c>
      <c r="D494" t="s">
        <v>34</v>
      </c>
      <c r="E494" t="s">
        <v>35</v>
      </c>
      <c r="F494">
        <v>114</v>
      </c>
      <c r="G494">
        <v>323183</v>
      </c>
      <c r="H494">
        <v>2023</v>
      </c>
      <c r="I494">
        <v>2</v>
      </c>
      <c r="J494" t="s">
        <v>107</v>
      </c>
      <c r="K494">
        <v>1</v>
      </c>
      <c r="L494" t="s">
        <v>31</v>
      </c>
      <c r="M494">
        <v>1</v>
      </c>
      <c r="N494" t="b">
        <v>0</v>
      </c>
      <c r="O494" t="b">
        <v>1</v>
      </c>
      <c r="P494">
        <v>322442</v>
      </c>
    </row>
    <row r="495" spans="1:16" x14ac:dyDescent="0.3">
      <c r="A495" t="s">
        <v>947</v>
      </c>
      <c r="B495" t="s">
        <v>949</v>
      </c>
      <c r="C495" t="s">
        <v>18</v>
      </c>
      <c r="D495" t="s">
        <v>19</v>
      </c>
      <c r="E495" t="s">
        <v>20</v>
      </c>
      <c r="F495">
        <v>741</v>
      </c>
      <c r="G495">
        <v>323297</v>
      </c>
      <c r="H495">
        <v>2023</v>
      </c>
      <c r="I495">
        <v>2</v>
      </c>
      <c r="J495" t="s">
        <v>107</v>
      </c>
      <c r="K495">
        <v>1</v>
      </c>
      <c r="L495" t="s">
        <v>31</v>
      </c>
      <c r="M495">
        <v>1</v>
      </c>
      <c r="N495" t="b">
        <v>1</v>
      </c>
      <c r="O495" t="b">
        <v>0</v>
      </c>
      <c r="P495">
        <v>323183</v>
      </c>
    </row>
    <row r="496" spans="1:16" x14ac:dyDescent="0.3">
      <c r="A496" t="s">
        <v>950</v>
      </c>
      <c r="B496" t="s">
        <v>951</v>
      </c>
      <c r="C496" t="s">
        <v>18</v>
      </c>
      <c r="D496" t="s">
        <v>19</v>
      </c>
      <c r="E496" t="s">
        <v>20</v>
      </c>
      <c r="F496">
        <v>988</v>
      </c>
      <c r="G496">
        <v>324171</v>
      </c>
      <c r="H496">
        <v>2023</v>
      </c>
      <c r="I496">
        <v>2</v>
      </c>
      <c r="J496" t="s">
        <v>107</v>
      </c>
      <c r="K496">
        <v>1</v>
      </c>
      <c r="L496" t="s">
        <v>38</v>
      </c>
      <c r="M496">
        <v>2</v>
      </c>
      <c r="N496" t="b">
        <v>1</v>
      </c>
      <c r="O496" t="b">
        <v>0</v>
      </c>
      <c r="P496">
        <v>324171</v>
      </c>
    </row>
    <row r="497" spans="1:16" x14ac:dyDescent="0.3">
      <c r="A497" t="s">
        <v>952</v>
      </c>
      <c r="B497" t="s">
        <v>953</v>
      </c>
      <c r="C497" t="s">
        <v>18</v>
      </c>
      <c r="D497" t="s">
        <v>19</v>
      </c>
      <c r="E497" t="s">
        <v>20</v>
      </c>
      <c r="F497">
        <v>930</v>
      </c>
      <c r="G497">
        <v>325101</v>
      </c>
      <c r="H497">
        <v>2023</v>
      </c>
      <c r="I497">
        <v>2</v>
      </c>
      <c r="J497" t="s">
        <v>107</v>
      </c>
      <c r="K497">
        <v>1</v>
      </c>
      <c r="L497" t="s">
        <v>41</v>
      </c>
      <c r="M497">
        <v>3</v>
      </c>
      <c r="N497" t="b">
        <v>1</v>
      </c>
      <c r="O497" t="b">
        <v>0</v>
      </c>
      <c r="P497">
        <v>325101</v>
      </c>
    </row>
    <row r="498" spans="1:16" x14ac:dyDescent="0.3">
      <c r="A498" t="s">
        <v>954</v>
      </c>
      <c r="B498" t="s">
        <v>955</v>
      </c>
      <c r="C498" t="s">
        <v>18</v>
      </c>
      <c r="D498" t="s">
        <v>19</v>
      </c>
      <c r="E498" t="s">
        <v>20</v>
      </c>
      <c r="F498">
        <v>856</v>
      </c>
      <c r="G498">
        <v>325957</v>
      </c>
      <c r="H498">
        <v>2023</v>
      </c>
      <c r="I498">
        <v>2</v>
      </c>
      <c r="J498" t="s">
        <v>107</v>
      </c>
      <c r="K498">
        <v>1</v>
      </c>
      <c r="L498" t="s">
        <v>44</v>
      </c>
      <c r="M498">
        <v>4</v>
      </c>
      <c r="N498" t="b">
        <v>1</v>
      </c>
      <c r="O498" t="b">
        <v>0</v>
      </c>
      <c r="P498">
        <v>325957</v>
      </c>
    </row>
    <row r="499" spans="1:16" x14ac:dyDescent="0.3">
      <c r="A499" t="s">
        <v>954</v>
      </c>
      <c r="B499" t="s">
        <v>956</v>
      </c>
      <c r="C499" t="s">
        <v>137</v>
      </c>
      <c r="D499" t="s">
        <v>34</v>
      </c>
      <c r="E499" t="s">
        <v>35</v>
      </c>
      <c r="F499">
        <v>196</v>
      </c>
      <c r="G499">
        <v>325761</v>
      </c>
      <c r="H499">
        <v>2023</v>
      </c>
      <c r="I499">
        <v>2</v>
      </c>
      <c r="J499" t="s">
        <v>107</v>
      </c>
      <c r="K499">
        <v>1</v>
      </c>
      <c r="L499" t="s">
        <v>44</v>
      </c>
      <c r="M499">
        <v>4</v>
      </c>
      <c r="N499" t="b">
        <v>0</v>
      </c>
      <c r="O499" t="b">
        <v>1</v>
      </c>
      <c r="P499">
        <v>325761</v>
      </c>
    </row>
    <row r="500" spans="1:16" x14ac:dyDescent="0.3">
      <c r="A500" t="s">
        <v>957</v>
      </c>
      <c r="B500" t="s">
        <v>958</v>
      </c>
      <c r="C500" t="s">
        <v>18</v>
      </c>
      <c r="D500" t="s">
        <v>19</v>
      </c>
      <c r="E500" t="s">
        <v>20</v>
      </c>
      <c r="F500">
        <v>1184</v>
      </c>
      <c r="G500">
        <v>326945</v>
      </c>
      <c r="H500">
        <v>2023</v>
      </c>
      <c r="I500">
        <v>2</v>
      </c>
      <c r="J500" t="s">
        <v>107</v>
      </c>
      <c r="K500">
        <v>1</v>
      </c>
      <c r="L500" t="s">
        <v>22</v>
      </c>
      <c r="M500">
        <v>5</v>
      </c>
      <c r="N500" t="b">
        <v>1</v>
      </c>
      <c r="O500" t="b">
        <v>0</v>
      </c>
      <c r="P500">
        <v>326945</v>
      </c>
    </row>
    <row r="501" spans="1:16" x14ac:dyDescent="0.3">
      <c r="A501" t="s">
        <v>959</v>
      </c>
      <c r="B501" t="s">
        <v>960</v>
      </c>
      <c r="C501" t="s">
        <v>18</v>
      </c>
      <c r="D501" t="s">
        <v>19</v>
      </c>
      <c r="E501" t="s">
        <v>20</v>
      </c>
      <c r="F501">
        <v>988</v>
      </c>
      <c r="G501">
        <v>327933</v>
      </c>
      <c r="H501">
        <v>2023</v>
      </c>
      <c r="I501">
        <v>2</v>
      </c>
      <c r="J501" t="s">
        <v>107</v>
      </c>
      <c r="K501">
        <v>1</v>
      </c>
      <c r="L501" t="s">
        <v>25</v>
      </c>
      <c r="M501">
        <v>6</v>
      </c>
      <c r="N501" t="b">
        <v>1</v>
      </c>
      <c r="O501" t="b">
        <v>0</v>
      </c>
      <c r="P501">
        <v>327933</v>
      </c>
    </row>
    <row r="502" spans="1:16" x14ac:dyDescent="0.3">
      <c r="A502" t="s">
        <v>959</v>
      </c>
      <c r="B502" t="s">
        <v>961</v>
      </c>
      <c r="C502" t="s">
        <v>88</v>
      </c>
      <c r="D502" t="s">
        <v>56</v>
      </c>
      <c r="E502" t="s">
        <v>35</v>
      </c>
      <c r="F502">
        <v>185</v>
      </c>
      <c r="G502">
        <v>327748</v>
      </c>
      <c r="H502">
        <v>2023</v>
      </c>
      <c r="I502">
        <v>2</v>
      </c>
      <c r="J502" t="s">
        <v>107</v>
      </c>
      <c r="K502">
        <v>1</v>
      </c>
      <c r="L502" t="s">
        <v>25</v>
      </c>
      <c r="M502">
        <v>6</v>
      </c>
      <c r="N502" t="b">
        <v>0</v>
      </c>
      <c r="O502" t="b">
        <v>1</v>
      </c>
      <c r="P502">
        <v>327748</v>
      </c>
    </row>
    <row r="503" spans="1:16" x14ac:dyDescent="0.3">
      <c r="A503" t="s">
        <v>962</v>
      </c>
      <c r="B503" t="s">
        <v>963</v>
      </c>
      <c r="C503" t="s">
        <v>18</v>
      </c>
      <c r="D503" t="s">
        <v>19</v>
      </c>
      <c r="E503" t="s">
        <v>20</v>
      </c>
      <c r="F503">
        <v>709</v>
      </c>
      <c r="G503">
        <v>328457</v>
      </c>
      <c r="H503">
        <v>2023</v>
      </c>
      <c r="I503">
        <v>2</v>
      </c>
      <c r="J503" t="s">
        <v>107</v>
      </c>
      <c r="K503">
        <v>1</v>
      </c>
      <c r="L503" t="s">
        <v>28</v>
      </c>
      <c r="M503">
        <v>0</v>
      </c>
      <c r="N503" t="b">
        <v>1</v>
      </c>
      <c r="O503" t="b">
        <v>0</v>
      </c>
      <c r="P503">
        <v>328457</v>
      </c>
    </row>
    <row r="504" spans="1:16" x14ac:dyDescent="0.3">
      <c r="A504" t="s">
        <v>964</v>
      </c>
      <c r="B504" t="s">
        <v>965</v>
      </c>
      <c r="C504" t="s">
        <v>18</v>
      </c>
      <c r="D504" t="s">
        <v>19</v>
      </c>
      <c r="E504" t="s">
        <v>20</v>
      </c>
      <c r="F504">
        <v>1029</v>
      </c>
      <c r="G504">
        <v>329486</v>
      </c>
      <c r="H504">
        <v>2023</v>
      </c>
      <c r="I504">
        <v>2</v>
      </c>
      <c r="J504" t="s">
        <v>107</v>
      </c>
      <c r="K504">
        <v>1</v>
      </c>
      <c r="L504" t="s">
        <v>31</v>
      </c>
      <c r="M504">
        <v>1</v>
      </c>
      <c r="N504" t="b">
        <v>1</v>
      </c>
      <c r="O504" t="b">
        <v>0</v>
      </c>
      <c r="P504">
        <v>329486</v>
      </c>
    </row>
    <row r="505" spans="1:16" x14ac:dyDescent="0.3">
      <c r="A505" t="s">
        <v>966</v>
      </c>
      <c r="B505" t="s">
        <v>967</v>
      </c>
      <c r="C505" t="s">
        <v>18</v>
      </c>
      <c r="D505" t="s">
        <v>19</v>
      </c>
      <c r="E505" t="s">
        <v>20</v>
      </c>
      <c r="F505">
        <v>993</v>
      </c>
      <c r="G505">
        <v>330479</v>
      </c>
      <c r="H505">
        <v>2023</v>
      </c>
      <c r="I505">
        <v>2</v>
      </c>
      <c r="J505" t="s">
        <v>107</v>
      </c>
      <c r="K505">
        <v>1</v>
      </c>
      <c r="L505" t="s">
        <v>38</v>
      </c>
      <c r="M505">
        <v>2</v>
      </c>
      <c r="N505" t="b">
        <v>1</v>
      </c>
      <c r="O505" t="b">
        <v>0</v>
      </c>
      <c r="P505">
        <v>330479</v>
      </c>
    </row>
    <row r="506" spans="1:16" x14ac:dyDescent="0.3">
      <c r="A506" t="s">
        <v>968</v>
      </c>
      <c r="B506" t="s">
        <v>969</v>
      </c>
      <c r="C506" t="s">
        <v>18</v>
      </c>
      <c r="D506" t="s">
        <v>19</v>
      </c>
      <c r="E506" t="s">
        <v>20</v>
      </c>
      <c r="F506">
        <v>1002</v>
      </c>
      <c r="G506">
        <v>331481</v>
      </c>
      <c r="H506">
        <v>2023</v>
      </c>
      <c r="I506">
        <v>2</v>
      </c>
      <c r="J506" t="s">
        <v>107</v>
      </c>
      <c r="K506">
        <v>1</v>
      </c>
      <c r="L506" t="s">
        <v>41</v>
      </c>
      <c r="M506">
        <v>3</v>
      </c>
      <c r="N506" t="b">
        <v>1</v>
      </c>
      <c r="O506" t="b">
        <v>0</v>
      </c>
      <c r="P506">
        <v>331481</v>
      </c>
    </row>
    <row r="507" spans="1:16" x14ac:dyDescent="0.3">
      <c r="A507" t="s">
        <v>970</v>
      </c>
      <c r="B507" t="s">
        <v>971</v>
      </c>
      <c r="C507" t="s">
        <v>18</v>
      </c>
      <c r="D507" t="s">
        <v>19</v>
      </c>
      <c r="E507" t="s">
        <v>20</v>
      </c>
      <c r="F507">
        <v>915</v>
      </c>
      <c r="G507">
        <v>332396</v>
      </c>
      <c r="H507">
        <v>2023</v>
      </c>
      <c r="I507">
        <v>2</v>
      </c>
      <c r="J507" t="s">
        <v>107</v>
      </c>
      <c r="K507">
        <v>1</v>
      </c>
      <c r="L507" t="s">
        <v>44</v>
      </c>
      <c r="M507">
        <v>4</v>
      </c>
      <c r="N507" t="b">
        <v>1</v>
      </c>
      <c r="O507" t="b">
        <v>0</v>
      </c>
      <c r="P507">
        <v>332396</v>
      </c>
    </row>
    <row r="508" spans="1:16" x14ac:dyDescent="0.3">
      <c r="A508" t="s">
        <v>972</v>
      </c>
      <c r="B508" t="s">
        <v>973</v>
      </c>
      <c r="C508" t="s">
        <v>18</v>
      </c>
      <c r="D508" t="s">
        <v>19</v>
      </c>
      <c r="E508" t="s">
        <v>20</v>
      </c>
      <c r="F508">
        <v>714</v>
      </c>
      <c r="G508">
        <v>333110</v>
      </c>
      <c r="H508">
        <v>2023</v>
      </c>
      <c r="I508">
        <v>2</v>
      </c>
      <c r="J508" t="s">
        <v>107</v>
      </c>
      <c r="K508">
        <v>1</v>
      </c>
      <c r="L508" t="s">
        <v>22</v>
      </c>
      <c r="M508">
        <v>5</v>
      </c>
      <c r="N508" t="b">
        <v>1</v>
      </c>
      <c r="O508" t="b">
        <v>0</v>
      </c>
      <c r="P508">
        <v>333110</v>
      </c>
    </row>
    <row r="509" spans="1:16" x14ac:dyDescent="0.3">
      <c r="A509" t="s">
        <v>974</v>
      </c>
      <c r="B509" t="s">
        <v>975</v>
      </c>
      <c r="C509" t="s">
        <v>18</v>
      </c>
      <c r="D509" t="s">
        <v>19</v>
      </c>
      <c r="E509" t="s">
        <v>20</v>
      </c>
      <c r="F509">
        <v>960</v>
      </c>
      <c r="G509">
        <v>334070</v>
      </c>
      <c r="H509">
        <v>2023</v>
      </c>
      <c r="I509">
        <v>2</v>
      </c>
      <c r="J509" t="s">
        <v>107</v>
      </c>
      <c r="K509">
        <v>1</v>
      </c>
      <c r="L509" t="s">
        <v>25</v>
      </c>
      <c r="M509">
        <v>6</v>
      </c>
      <c r="N509" t="b">
        <v>1</v>
      </c>
      <c r="O509" t="b">
        <v>0</v>
      </c>
      <c r="P509">
        <v>334070</v>
      </c>
    </row>
    <row r="510" spans="1:16" x14ac:dyDescent="0.3">
      <c r="A510" t="s">
        <v>976</v>
      </c>
      <c r="B510" t="s">
        <v>977</v>
      </c>
      <c r="C510" t="s">
        <v>18</v>
      </c>
      <c r="D510" t="s">
        <v>19</v>
      </c>
      <c r="E510" t="s">
        <v>20</v>
      </c>
      <c r="F510">
        <v>1023</v>
      </c>
      <c r="G510">
        <v>335093</v>
      </c>
      <c r="H510">
        <v>2023</v>
      </c>
      <c r="I510">
        <v>2</v>
      </c>
      <c r="J510" t="s">
        <v>107</v>
      </c>
      <c r="K510">
        <v>1</v>
      </c>
      <c r="L510" t="s">
        <v>28</v>
      </c>
      <c r="M510">
        <v>0</v>
      </c>
      <c r="N510" t="b">
        <v>1</v>
      </c>
      <c r="O510" t="b">
        <v>0</v>
      </c>
      <c r="P510">
        <v>335093</v>
      </c>
    </row>
    <row r="511" spans="1:16" x14ac:dyDescent="0.3">
      <c r="A511" t="s">
        <v>978</v>
      </c>
      <c r="B511" t="s">
        <v>979</v>
      </c>
      <c r="C511" t="s">
        <v>18</v>
      </c>
      <c r="D511" t="s">
        <v>19</v>
      </c>
      <c r="E511" t="s">
        <v>20</v>
      </c>
      <c r="F511">
        <v>829</v>
      </c>
      <c r="G511">
        <v>335922</v>
      </c>
      <c r="H511">
        <v>2023</v>
      </c>
      <c r="I511">
        <v>2</v>
      </c>
      <c r="J511" t="s">
        <v>107</v>
      </c>
      <c r="K511">
        <v>1</v>
      </c>
      <c r="L511" t="s">
        <v>31</v>
      </c>
      <c r="M511">
        <v>1</v>
      </c>
      <c r="N511" t="b">
        <v>1</v>
      </c>
      <c r="O511" t="b">
        <v>0</v>
      </c>
      <c r="P511">
        <v>335922</v>
      </c>
    </row>
    <row r="512" spans="1:16" x14ac:dyDescent="0.3">
      <c r="A512" t="s">
        <v>978</v>
      </c>
      <c r="B512" t="s">
        <v>980</v>
      </c>
      <c r="C512" t="s">
        <v>33</v>
      </c>
      <c r="D512" t="s">
        <v>34</v>
      </c>
      <c r="E512" t="s">
        <v>35</v>
      </c>
      <c r="F512">
        <v>214</v>
      </c>
      <c r="G512">
        <v>335708</v>
      </c>
      <c r="H512">
        <v>2023</v>
      </c>
      <c r="I512">
        <v>2</v>
      </c>
      <c r="J512" t="s">
        <v>107</v>
      </c>
      <c r="K512">
        <v>1</v>
      </c>
      <c r="L512" t="s">
        <v>31</v>
      </c>
      <c r="M512">
        <v>1</v>
      </c>
      <c r="N512" t="b">
        <v>0</v>
      </c>
      <c r="O512" t="b">
        <v>1</v>
      </c>
      <c r="P512">
        <v>335708</v>
      </c>
    </row>
    <row r="513" spans="1:16" x14ac:dyDescent="0.3">
      <c r="A513" t="s">
        <v>981</v>
      </c>
      <c r="B513" t="s">
        <v>982</v>
      </c>
      <c r="C513" t="s">
        <v>18</v>
      </c>
      <c r="D513" t="s">
        <v>19</v>
      </c>
      <c r="E513" t="s">
        <v>20</v>
      </c>
      <c r="F513">
        <v>691</v>
      </c>
      <c r="G513">
        <v>336399</v>
      </c>
      <c r="H513">
        <v>2023</v>
      </c>
      <c r="I513">
        <v>3</v>
      </c>
      <c r="J513" t="s">
        <v>170</v>
      </c>
      <c r="K513">
        <v>1</v>
      </c>
      <c r="L513" t="s">
        <v>38</v>
      </c>
      <c r="M513">
        <v>2</v>
      </c>
      <c r="N513" t="b">
        <v>1</v>
      </c>
      <c r="O513" t="b">
        <v>0</v>
      </c>
      <c r="P513">
        <v>336399</v>
      </c>
    </row>
    <row r="514" spans="1:16" x14ac:dyDescent="0.3">
      <c r="A514" t="s">
        <v>983</v>
      </c>
      <c r="B514" t="s">
        <v>984</v>
      </c>
      <c r="C514" t="s">
        <v>18</v>
      </c>
      <c r="D514" t="s">
        <v>19</v>
      </c>
      <c r="E514" t="s">
        <v>20</v>
      </c>
      <c r="F514">
        <v>682</v>
      </c>
      <c r="G514">
        <v>337081</v>
      </c>
      <c r="H514">
        <v>2023</v>
      </c>
      <c r="I514">
        <v>3</v>
      </c>
      <c r="J514" t="s">
        <v>170</v>
      </c>
      <c r="K514">
        <v>1</v>
      </c>
      <c r="L514" t="s">
        <v>41</v>
      </c>
      <c r="M514">
        <v>3</v>
      </c>
      <c r="N514" t="b">
        <v>1</v>
      </c>
      <c r="O514" t="b">
        <v>0</v>
      </c>
      <c r="P514">
        <v>337081</v>
      </c>
    </row>
    <row r="515" spans="1:16" x14ac:dyDescent="0.3">
      <c r="A515" t="s">
        <v>985</v>
      </c>
      <c r="B515" t="s">
        <v>986</v>
      </c>
      <c r="C515" t="s">
        <v>18</v>
      </c>
      <c r="D515" t="s">
        <v>19</v>
      </c>
      <c r="E515" t="s">
        <v>20</v>
      </c>
      <c r="F515">
        <v>410</v>
      </c>
      <c r="G515">
        <v>337491</v>
      </c>
      <c r="H515">
        <v>2023</v>
      </c>
      <c r="I515">
        <v>3</v>
      </c>
      <c r="J515" t="s">
        <v>170</v>
      </c>
      <c r="K515">
        <v>1</v>
      </c>
      <c r="L515" t="s">
        <v>44</v>
      </c>
      <c r="M515">
        <v>4</v>
      </c>
      <c r="N515" t="b">
        <v>1</v>
      </c>
      <c r="O515" t="b">
        <v>0</v>
      </c>
      <c r="P515">
        <v>337491</v>
      </c>
    </row>
    <row r="516" spans="1:16" x14ac:dyDescent="0.3">
      <c r="A516" t="s">
        <v>987</v>
      </c>
      <c r="B516" t="s">
        <v>988</v>
      </c>
      <c r="C516" t="s">
        <v>18</v>
      </c>
      <c r="D516" t="s">
        <v>19</v>
      </c>
      <c r="E516" t="s">
        <v>20</v>
      </c>
      <c r="F516">
        <v>759</v>
      </c>
      <c r="G516">
        <v>338250</v>
      </c>
      <c r="H516">
        <v>2023</v>
      </c>
      <c r="I516">
        <v>3</v>
      </c>
      <c r="J516" t="s">
        <v>170</v>
      </c>
      <c r="K516">
        <v>1</v>
      </c>
      <c r="L516" t="s">
        <v>22</v>
      </c>
      <c r="M516">
        <v>5</v>
      </c>
      <c r="N516" t="b">
        <v>1</v>
      </c>
      <c r="O516" t="b">
        <v>0</v>
      </c>
      <c r="P516">
        <v>338250</v>
      </c>
    </row>
    <row r="517" spans="1:16" x14ac:dyDescent="0.3">
      <c r="A517" t="s">
        <v>989</v>
      </c>
      <c r="B517" t="s">
        <v>990</v>
      </c>
      <c r="C517" t="s">
        <v>18</v>
      </c>
      <c r="D517" t="s">
        <v>19</v>
      </c>
      <c r="E517" t="s">
        <v>20</v>
      </c>
      <c r="F517">
        <v>599</v>
      </c>
      <c r="G517">
        <v>338849</v>
      </c>
      <c r="H517">
        <v>2023</v>
      </c>
      <c r="I517">
        <v>3</v>
      </c>
      <c r="J517" t="s">
        <v>170</v>
      </c>
      <c r="K517">
        <v>1</v>
      </c>
      <c r="L517" t="s">
        <v>25</v>
      </c>
      <c r="M517">
        <v>6</v>
      </c>
      <c r="N517" t="b">
        <v>1</v>
      </c>
      <c r="O517" t="b">
        <v>0</v>
      </c>
      <c r="P517">
        <v>338849</v>
      </c>
    </row>
    <row r="518" spans="1:16" x14ac:dyDescent="0.3">
      <c r="A518" t="s">
        <v>991</v>
      </c>
      <c r="B518" t="s">
        <v>992</v>
      </c>
      <c r="C518" t="s">
        <v>18</v>
      </c>
      <c r="D518" t="s">
        <v>19</v>
      </c>
      <c r="E518" t="s">
        <v>20</v>
      </c>
      <c r="F518">
        <v>745</v>
      </c>
      <c r="G518">
        <v>339594</v>
      </c>
      <c r="H518">
        <v>2023</v>
      </c>
      <c r="I518">
        <v>3</v>
      </c>
      <c r="J518" t="s">
        <v>170</v>
      </c>
      <c r="K518">
        <v>1</v>
      </c>
      <c r="L518" t="s">
        <v>28</v>
      </c>
      <c r="M518">
        <v>0</v>
      </c>
      <c r="N518" t="b">
        <v>1</v>
      </c>
      <c r="O518" t="b">
        <v>0</v>
      </c>
      <c r="P518">
        <v>339594</v>
      </c>
    </row>
    <row r="519" spans="1:16" x14ac:dyDescent="0.3">
      <c r="A519" t="s">
        <v>993</v>
      </c>
      <c r="B519" t="s">
        <v>994</v>
      </c>
      <c r="C519" t="s">
        <v>18</v>
      </c>
      <c r="D519" t="s">
        <v>19</v>
      </c>
      <c r="E519" t="s">
        <v>20</v>
      </c>
      <c r="F519">
        <v>795</v>
      </c>
      <c r="G519">
        <v>340389</v>
      </c>
      <c r="H519">
        <v>2023</v>
      </c>
      <c r="I519">
        <v>3</v>
      </c>
      <c r="J519" t="s">
        <v>170</v>
      </c>
      <c r="K519">
        <v>1</v>
      </c>
      <c r="L519" t="s">
        <v>31</v>
      </c>
      <c r="M519">
        <v>1</v>
      </c>
      <c r="N519" t="b">
        <v>1</v>
      </c>
      <c r="O519" t="b">
        <v>0</v>
      </c>
      <c r="P519">
        <v>340389</v>
      </c>
    </row>
    <row r="520" spans="1:16" x14ac:dyDescent="0.3">
      <c r="A520" t="s">
        <v>995</v>
      </c>
      <c r="B520" t="s">
        <v>996</v>
      </c>
      <c r="C520" t="s">
        <v>18</v>
      </c>
      <c r="D520" t="s">
        <v>19</v>
      </c>
      <c r="E520" t="s">
        <v>20</v>
      </c>
      <c r="F520">
        <v>503</v>
      </c>
      <c r="G520">
        <v>340892</v>
      </c>
      <c r="H520">
        <v>2023</v>
      </c>
      <c r="I520">
        <v>3</v>
      </c>
      <c r="J520" t="s">
        <v>170</v>
      </c>
      <c r="K520">
        <v>1</v>
      </c>
      <c r="L520" t="s">
        <v>38</v>
      </c>
      <c r="M520">
        <v>2</v>
      </c>
      <c r="N520" t="b">
        <v>1</v>
      </c>
      <c r="O520" t="b">
        <v>0</v>
      </c>
      <c r="P520">
        <v>340892</v>
      </c>
    </row>
    <row r="521" spans="1:16" x14ac:dyDescent="0.3">
      <c r="A521" t="s">
        <v>997</v>
      </c>
      <c r="B521" t="s">
        <v>998</v>
      </c>
      <c r="C521" t="s">
        <v>18</v>
      </c>
      <c r="D521" t="s">
        <v>19</v>
      </c>
      <c r="E521" t="s">
        <v>20</v>
      </c>
      <c r="F521">
        <v>510</v>
      </c>
      <c r="G521">
        <v>341402</v>
      </c>
      <c r="H521">
        <v>2023</v>
      </c>
      <c r="I521">
        <v>3</v>
      </c>
      <c r="J521" t="s">
        <v>170</v>
      </c>
      <c r="K521">
        <v>1</v>
      </c>
      <c r="L521" t="s">
        <v>41</v>
      </c>
      <c r="M521">
        <v>3</v>
      </c>
      <c r="N521" t="b">
        <v>1</v>
      </c>
      <c r="O521" t="b">
        <v>0</v>
      </c>
      <c r="P521">
        <v>341402</v>
      </c>
    </row>
    <row r="522" spans="1:16" x14ac:dyDescent="0.3">
      <c r="A522" t="s">
        <v>999</v>
      </c>
      <c r="B522" t="s">
        <v>1000</v>
      </c>
      <c r="C522" t="s">
        <v>18</v>
      </c>
      <c r="D522" t="s">
        <v>19</v>
      </c>
      <c r="E522" t="s">
        <v>20</v>
      </c>
      <c r="F522">
        <v>570</v>
      </c>
      <c r="G522">
        <v>341972</v>
      </c>
      <c r="H522">
        <v>2023</v>
      </c>
      <c r="I522">
        <v>3</v>
      </c>
      <c r="J522" t="s">
        <v>170</v>
      </c>
      <c r="K522">
        <v>1</v>
      </c>
      <c r="L522" t="s">
        <v>44</v>
      </c>
      <c r="M522">
        <v>4</v>
      </c>
      <c r="N522" t="b">
        <v>1</v>
      </c>
      <c r="O522" t="b">
        <v>0</v>
      </c>
      <c r="P522">
        <v>341972</v>
      </c>
    </row>
    <row r="523" spans="1:16" x14ac:dyDescent="0.3">
      <c r="A523" t="s">
        <v>1001</v>
      </c>
      <c r="B523" t="s">
        <v>1002</v>
      </c>
      <c r="C523" t="s">
        <v>18</v>
      </c>
      <c r="D523" t="s">
        <v>19</v>
      </c>
      <c r="E523" t="s">
        <v>20</v>
      </c>
      <c r="F523">
        <v>755</v>
      </c>
      <c r="G523">
        <v>342727</v>
      </c>
      <c r="H523">
        <v>2023</v>
      </c>
      <c r="I523">
        <v>3</v>
      </c>
      <c r="J523" t="s">
        <v>170</v>
      </c>
      <c r="K523">
        <v>1</v>
      </c>
      <c r="L523" t="s">
        <v>22</v>
      </c>
      <c r="M523">
        <v>5</v>
      </c>
      <c r="N523" t="b">
        <v>1</v>
      </c>
      <c r="O523" t="b">
        <v>0</v>
      </c>
      <c r="P523">
        <v>342727</v>
      </c>
    </row>
    <row r="524" spans="1:16" x14ac:dyDescent="0.3">
      <c r="A524" t="s">
        <v>1003</v>
      </c>
      <c r="B524" t="s">
        <v>1004</v>
      </c>
      <c r="C524" t="s">
        <v>18</v>
      </c>
      <c r="D524" t="s">
        <v>19</v>
      </c>
      <c r="E524" t="s">
        <v>20</v>
      </c>
      <c r="F524">
        <v>532</v>
      </c>
      <c r="G524">
        <v>343259</v>
      </c>
      <c r="H524">
        <v>2023</v>
      </c>
      <c r="I524">
        <v>3</v>
      </c>
      <c r="J524" t="s">
        <v>170</v>
      </c>
      <c r="K524">
        <v>1</v>
      </c>
      <c r="L524" t="s">
        <v>25</v>
      </c>
      <c r="M524">
        <v>6</v>
      </c>
      <c r="N524" t="b">
        <v>1</v>
      </c>
      <c r="O524" t="b">
        <v>0</v>
      </c>
      <c r="P524">
        <v>343259</v>
      </c>
    </row>
    <row r="525" spans="1:16" x14ac:dyDescent="0.3">
      <c r="A525" t="s">
        <v>1005</v>
      </c>
      <c r="B525" t="s">
        <v>1006</v>
      </c>
      <c r="C525" t="s">
        <v>18</v>
      </c>
      <c r="D525" t="s">
        <v>19</v>
      </c>
      <c r="E525" t="s">
        <v>20</v>
      </c>
      <c r="F525">
        <v>727</v>
      </c>
      <c r="G525">
        <v>343986</v>
      </c>
      <c r="H525">
        <v>2023</v>
      </c>
      <c r="I525">
        <v>3</v>
      </c>
      <c r="J525" t="s">
        <v>170</v>
      </c>
      <c r="K525">
        <v>1</v>
      </c>
      <c r="L525" t="s">
        <v>28</v>
      </c>
      <c r="M525">
        <v>0</v>
      </c>
      <c r="N525" t="b">
        <v>1</v>
      </c>
      <c r="O525" t="b">
        <v>0</v>
      </c>
      <c r="P525">
        <v>343986</v>
      </c>
    </row>
    <row r="526" spans="1:16" x14ac:dyDescent="0.3">
      <c r="A526" t="s">
        <v>1007</v>
      </c>
      <c r="B526" t="s">
        <v>1008</v>
      </c>
      <c r="C526" t="s">
        <v>18</v>
      </c>
      <c r="D526" t="s">
        <v>19</v>
      </c>
      <c r="E526" t="s">
        <v>20</v>
      </c>
      <c r="F526">
        <v>491</v>
      </c>
      <c r="G526">
        <v>344477</v>
      </c>
      <c r="H526">
        <v>2023</v>
      </c>
      <c r="I526">
        <v>3</v>
      </c>
      <c r="J526" t="s">
        <v>170</v>
      </c>
      <c r="K526">
        <v>1</v>
      </c>
      <c r="L526" t="s">
        <v>31</v>
      </c>
      <c r="M526">
        <v>1</v>
      </c>
      <c r="N526" t="b">
        <v>1</v>
      </c>
      <c r="O526" t="b">
        <v>0</v>
      </c>
      <c r="P526">
        <v>344477</v>
      </c>
    </row>
    <row r="527" spans="1:16" x14ac:dyDescent="0.3">
      <c r="A527" t="s">
        <v>1009</v>
      </c>
      <c r="B527" t="s">
        <v>1010</v>
      </c>
      <c r="C527" t="s">
        <v>18</v>
      </c>
      <c r="D527" t="s">
        <v>19</v>
      </c>
      <c r="E527" t="s">
        <v>20</v>
      </c>
      <c r="F527">
        <v>792</v>
      </c>
      <c r="G527">
        <v>345269</v>
      </c>
      <c r="H527">
        <v>2023</v>
      </c>
      <c r="I527">
        <v>3</v>
      </c>
      <c r="J527" t="s">
        <v>170</v>
      </c>
      <c r="K527">
        <v>1</v>
      </c>
      <c r="L527" t="s">
        <v>38</v>
      </c>
      <c r="M527">
        <v>2</v>
      </c>
      <c r="N527" t="b">
        <v>1</v>
      </c>
      <c r="O527" t="b">
        <v>0</v>
      </c>
      <c r="P527">
        <v>345269</v>
      </c>
    </row>
    <row r="528" spans="1:16" x14ac:dyDescent="0.3">
      <c r="A528" t="s">
        <v>1011</v>
      </c>
      <c r="B528" t="s">
        <v>1012</v>
      </c>
      <c r="C528" t="s">
        <v>18</v>
      </c>
      <c r="D528" t="s">
        <v>19</v>
      </c>
      <c r="E528" t="s">
        <v>20</v>
      </c>
      <c r="F528">
        <v>428</v>
      </c>
      <c r="G528">
        <v>345697</v>
      </c>
      <c r="H528">
        <v>2023</v>
      </c>
      <c r="I528">
        <v>3</v>
      </c>
      <c r="J528" t="s">
        <v>170</v>
      </c>
      <c r="K528">
        <v>1</v>
      </c>
      <c r="L528" t="s">
        <v>41</v>
      </c>
      <c r="M528">
        <v>3</v>
      </c>
      <c r="N528" t="b">
        <v>1</v>
      </c>
      <c r="O528" t="b">
        <v>0</v>
      </c>
      <c r="P528">
        <v>345697</v>
      </c>
    </row>
    <row r="529" spans="1:16" x14ac:dyDescent="0.3">
      <c r="A529" t="s">
        <v>1011</v>
      </c>
      <c r="B529" t="s">
        <v>1013</v>
      </c>
      <c r="C529" t="s">
        <v>33</v>
      </c>
      <c r="D529" t="s">
        <v>34</v>
      </c>
      <c r="E529" t="s">
        <v>35</v>
      </c>
      <c r="F529">
        <v>396</v>
      </c>
      <c r="G529">
        <v>345301</v>
      </c>
      <c r="H529">
        <v>2023</v>
      </c>
      <c r="I529">
        <v>3</v>
      </c>
      <c r="J529" t="s">
        <v>170</v>
      </c>
      <c r="K529">
        <v>1</v>
      </c>
      <c r="L529" t="s">
        <v>41</v>
      </c>
      <c r="M529">
        <v>3</v>
      </c>
      <c r="N529" t="b">
        <v>0</v>
      </c>
      <c r="O529" t="b">
        <v>1</v>
      </c>
      <c r="P529">
        <v>345301</v>
      </c>
    </row>
    <row r="530" spans="1:16" x14ac:dyDescent="0.3">
      <c r="A530" t="s">
        <v>1014</v>
      </c>
      <c r="B530" t="s">
        <v>1015</v>
      </c>
      <c r="C530" t="s">
        <v>18</v>
      </c>
      <c r="D530" t="s">
        <v>19</v>
      </c>
      <c r="E530" t="s">
        <v>20</v>
      </c>
      <c r="F530">
        <v>656</v>
      </c>
      <c r="G530">
        <v>345957</v>
      </c>
      <c r="H530">
        <v>2023</v>
      </c>
      <c r="I530">
        <v>3</v>
      </c>
      <c r="J530" t="s">
        <v>170</v>
      </c>
      <c r="K530">
        <v>1</v>
      </c>
      <c r="L530" t="s">
        <v>44</v>
      </c>
      <c r="M530">
        <v>4</v>
      </c>
      <c r="N530" t="b">
        <v>1</v>
      </c>
      <c r="O530" t="b">
        <v>0</v>
      </c>
      <c r="P530">
        <v>345957</v>
      </c>
    </row>
    <row r="531" spans="1:16" x14ac:dyDescent="0.3">
      <c r="A531" t="s">
        <v>1014</v>
      </c>
      <c r="B531" t="s">
        <v>1016</v>
      </c>
      <c r="C531" t="s">
        <v>46</v>
      </c>
      <c r="D531" t="s">
        <v>34</v>
      </c>
      <c r="E531" t="s">
        <v>35</v>
      </c>
      <c r="F531">
        <v>445</v>
      </c>
      <c r="G531">
        <v>345512</v>
      </c>
      <c r="H531">
        <v>2023</v>
      </c>
      <c r="I531">
        <v>3</v>
      </c>
      <c r="J531" t="s">
        <v>170</v>
      </c>
      <c r="K531">
        <v>1</v>
      </c>
      <c r="L531" t="s">
        <v>44</v>
      </c>
      <c r="M531">
        <v>4</v>
      </c>
      <c r="N531" t="b">
        <v>0</v>
      </c>
      <c r="O531" t="b">
        <v>1</v>
      </c>
      <c r="P531">
        <v>345512</v>
      </c>
    </row>
    <row r="532" spans="1:16" x14ac:dyDescent="0.3">
      <c r="A532" t="s">
        <v>1017</v>
      </c>
      <c r="B532" t="s">
        <v>1018</v>
      </c>
      <c r="C532" t="s">
        <v>18</v>
      </c>
      <c r="D532" t="s">
        <v>19</v>
      </c>
      <c r="E532" t="s">
        <v>20</v>
      </c>
      <c r="F532">
        <v>581</v>
      </c>
      <c r="G532">
        <v>346093</v>
      </c>
      <c r="H532">
        <v>2023</v>
      </c>
      <c r="I532">
        <v>3</v>
      </c>
      <c r="J532" t="s">
        <v>170</v>
      </c>
      <c r="K532">
        <v>1</v>
      </c>
      <c r="L532" t="s">
        <v>22</v>
      </c>
      <c r="M532">
        <v>5</v>
      </c>
      <c r="N532" t="b">
        <v>1</v>
      </c>
      <c r="O532" t="b">
        <v>0</v>
      </c>
      <c r="P532">
        <v>346093</v>
      </c>
    </row>
    <row r="533" spans="1:16" x14ac:dyDescent="0.3">
      <c r="A533" t="s">
        <v>1019</v>
      </c>
      <c r="B533" t="s">
        <v>1020</v>
      </c>
      <c r="C533" t="s">
        <v>18</v>
      </c>
      <c r="D533" t="s">
        <v>19</v>
      </c>
      <c r="E533" t="s">
        <v>20</v>
      </c>
      <c r="F533">
        <v>400</v>
      </c>
      <c r="G533">
        <v>346493</v>
      </c>
      <c r="H533">
        <v>2023</v>
      </c>
      <c r="I533">
        <v>3</v>
      </c>
      <c r="J533" t="s">
        <v>170</v>
      </c>
      <c r="K533">
        <v>1</v>
      </c>
      <c r="L533" t="s">
        <v>25</v>
      </c>
      <c r="M533">
        <v>6</v>
      </c>
      <c r="N533" t="b">
        <v>1</v>
      </c>
      <c r="O533" t="b">
        <v>0</v>
      </c>
      <c r="P533">
        <v>346493</v>
      </c>
    </row>
    <row r="534" spans="1:16" x14ac:dyDescent="0.3">
      <c r="A534" t="s">
        <v>1021</v>
      </c>
      <c r="B534" t="s">
        <v>1022</v>
      </c>
      <c r="C534" t="s">
        <v>18</v>
      </c>
      <c r="D534" t="s">
        <v>19</v>
      </c>
      <c r="E534" t="s">
        <v>20</v>
      </c>
      <c r="F534">
        <v>454</v>
      </c>
      <c r="G534">
        <v>346947</v>
      </c>
      <c r="H534">
        <v>2023</v>
      </c>
      <c r="I534">
        <v>3</v>
      </c>
      <c r="J534" t="s">
        <v>170</v>
      </c>
      <c r="K534">
        <v>1</v>
      </c>
      <c r="L534" t="s">
        <v>28</v>
      </c>
      <c r="M534">
        <v>0</v>
      </c>
      <c r="N534" t="b">
        <v>1</v>
      </c>
      <c r="O534" t="b">
        <v>0</v>
      </c>
      <c r="P534">
        <v>346947</v>
      </c>
    </row>
    <row r="535" spans="1:16" x14ac:dyDescent="0.3">
      <c r="A535" t="s">
        <v>1023</v>
      </c>
      <c r="B535" t="s">
        <v>1024</v>
      </c>
      <c r="C535" t="s">
        <v>18</v>
      </c>
      <c r="D535" t="s">
        <v>19</v>
      </c>
      <c r="E535" t="s">
        <v>20</v>
      </c>
      <c r="F535">
        <v>798</v>
      </c>
      <c r="G535">
        <v>347745</v>
      </c>
      <c r="H535">
        <v>2023</v>
      </c>
      <c r="I535">
        <v>3</v>
      </c>
      <c r="J535" t="s">
        <v>170</v>
      </c>
      <c r="K535">
        <v>1</v>
      </c>
      <c r="L535" t="s">
        <v>31</v>
      </c>
      <c r="M535">
        <v>1</v>
      </c>
      <c r="N535" t="b">
        <v>1</v>
      </c>
      <c r="O535" t="b">
        <v>0</v>
      </c>
      <c r="P535">
        <v>347745</v>
      </c>
    </row>
    <row r="536" spans="1:16" x14ac:dyDescent="0.3">
      <c r="A536" t="s">
        <v>1025</v>
      </c>
      <c r="B536" t="s">
        <v>1026</v>
      </c>
      <c r="C536" t="s">
        <v>18</v>
      </c>
      <c r="D536" t="s">
        <v>19</v>
      </c>
      <c r="E536" t="s">
        <v>20</v>
      </c>
      <c r="F536">
        <v>708</v>
      </c>
      <c r="G536">
        <v>348453</v>
      </c>
      <c r="H536">
        <v>2023</v>
      </c>
      <c r="I536">
        <v>3</v>
      </c>
      <c r="J536" t="s">
        <v>170</v>
      </c>
      <c r="K536">
        <v>1</v>
      </c>
      <c r="L536" t="s">
        <v>38</v>
      </c>
      <c r="M536">
        <v>2</v>
      </c>
      <c r="N536" t="b">
        <v>1</v>
      </c>
      <c r="O536" t="b">
        <v>0</v>
      </c>
      <c r="P536">
        <v>348453</v>
      </c>
    </row>
    <row r="537" spans="1:16" x14ac:dyDescent="0.3">
      <c r="A537" t="s">
        <v>1027</v>
      </c>
      <c r="B537" t="s">
        <v>1028</v>
      </c>
      <c r="C537" t="s">
        <v>18</v>
      </c>
      <c r="D537" t="s">
        <v>19</v>
      </c>
      <c r="E537" t="s">
        <v>20</v>
      </c>
      <c r="F537">
        <v>712</v>
      </c>
      <c r="G537">
        <v>349165</v>
      </c>
      <c r="H537">
        <v>2023</v>
      </c>
      <c r="I537">
        <v>3</v>
      </c>
      <c r="J537" t="s">
        <v>170</v>
      </c>
      <c r="K537">
        <v>1</v>
      </c>
      <c r="L537" t="s">
        <v>41</v>
      </c>
      <c r="M537">
        <v>3</v>
      </c>
      <c r="N537" t="b">
        <v>1</v>
      </c>
      <c r="O537" t="b">
        <v>0</v>
      </c>
      <c r="P537">
        <v>349165</v>
      </c>
    </row>
    <row r="538" spans="1:16" x14ac:dyDescent="0.3">
      <c r="A538" t="s">
        <v>1027</v>
      </c>
      <c r="B538" t="s">
        <v>1029</v>
      </c>
      <c r="C538" t="s">
        <v>46</v>
      </c>
      <c r="D538" t="s">
        <v>34</v>
      </c>
      <c r="E538" t="s">
        <v>35</v>
      </c>
      <c r="F538">
        <v>390</v>
      </c>
      <c r="G538">
        <v>348775</v>
      </c>
      <c r="H538">
        <v>2023</v>
      </c>
      <c r="I538">
        <v>3</v>
      </c>
      <c r="J538" t="s">
        <v>170</v>
      </c>
      <c r="K538">
        <v>1</v>
      </c>
      <c r="L538" t="s">
        <v>41</v>
      </c>
      <c r="M538">
        <v>3</v>
      </c>
      <c r="N538" t="b">
        <v>0</v>
      </c>
      <c r="O538" t="b">
        <v>1</v>
      </c>
      <c r="P538">
        <v>348775</v>
      </c>
    </row>
    <row r="539" spans="1:16" x14ac:dyDescent="0.3">
      <c r="A539" t="s">
        <v>1030</v>
      </c>
      <c r="B539" t="s">
        <v>1031</v>
      </c>
      <c r="C539" t="s">
        <v>18</v>
      </c>
      <c r="D539" t="s">
        <v>19</v>
      </c>
      <c r="E539" t="s">
        <v>20</v>
      </c>
      <c r="F539">
        <v>424</v>
      </c>
      <c r="G539">
        <v>349199</v>
      </c>
      <c r="H539">
        <v>2023</v>
      </c>
      <c r="I539">
        <v>3</v>
      </c>
      <c r="J539" t="s">
        <v>170</v>
      </c>
      <c r="K539">
        <v>1</v>
      </c>
      <c r="L539" t="s">
        <v>44</v>
      </c>
      <c r="M539">
        <v>4</v>
      </c>
      <c r="N539" t="b">
        <v>1</v>
      </c>
      <c r="O539" t="b">
        <v>0</v>
      </c>
      <c r="P539">
        <v>349199</v>
      </c>
    </row>
    <row r="540" spans="1:16" x14ac:dyDescent="0.3">
      <c r="A540" t="s">
        <v>1032</v>
      </c>
      <c r="B540" t="s">
        <v>1033</v>
      </c>
      <c r="C540" t="s">
        <v>18</v>
      </c>
      <c r="D540" t="s">
        <v>19</v>
      </c>
      <c r="E540" t="s">
        <v>20</v>
      </c>
      <c r="F540">
        <v>693</v>
      </c>
      <c r="G540">
        <v>349892</v>
      </c>
      <c r="H540">
        <v>2023</v>
      </c>
      <c r="I540">
        <v>3</v>
      </c>
      <c r="J540" t="s">
        <v>170</v>
      </c>
      <c r="K540">
        <v>1</v>
      </c>
      <c r="L540" t="s">
        <v>22</v>
      </c>
      <c r="M540">
        <v>5</v>
      </c>
      <c r="N540" t="b">
        <v>1</v>
      </c>
      <c r="O540" t="b">
        <v>0</v>
      </c>
      <c r="P540">
        <v>349892</v>
      </c>
    </row>
    <row r="541" spans="1:16" x14ac:dyDescent="0.3">
      <c r="A541" t="s">
        <v>1034</v>
      </c>
      <c r="B541" t="s">
        <v>1035</v>
      </c>
      <c r="C541" t="s">
        <v>18</v>
      </c>
      <c r="D541" t="s">
        <v>19</v>
      </c>
      <c r="E541" t="s">
        <v>20</v>
      </c>
      <c r="F541">
        <v>609</v>
      </c>
      <c r="G541">
        <v>350501</v>
      </c>
      <c r="H541">
        <v>2023</v>
      </c>
      <c r="I541">
        <v>3</v>
      </c>
      <c r="J541" t="s">
        <v>170</v>
      </c>
      <c r="K541">
        <v>1</v>
      </c>
      <c r="L541" t="s">
        <v>25</v>
      </c>
      <c r="M541">
        <v>6</v>
      </c>
      <c r="N541" t="b">
        <v>1</v>
      </c>
      <c r="O541" t="b">
        <v>0</v>
      </c>
      <c r="P541">
        <v>350501</v>
      </c>
    </row>
    <row r="542" spans="1:16" x14ac:dyDescent="0.3">
      <c r="A542" t="s">
        <v>1036</v>
      </c>
      <c r="B542" t="s">
        <v>1037</v>
      </c>
      <c r="C542" t="s">
        <v>18</v>
      </c>
      <c r="D542" t="s">
        <v>19</v>
      </c>
      <c r="E542" t="s">
        <v>20</v>
      </c>
      <c r="F542">
        <v>746</v>
      </c>
      <c r="G542">
        <v>351247</v>
      </c>
      <c r="H542">
        <v>2023</v>
      </c>
      <c r="I542">
        <v>3</v>
      </c>
      <c r="J542" t="s">
        <v>170</v>
      </c>
      <c r="K542">
        <v>1</v>
      </c>
      <c r="L542" t="s">
        <v>28</v>
      </c>
      <c r="M542">
        <v>0</v>
      </c>
      <c r="N542" t="b">
        <v>1</v>
      </c>
      <c r="O542" t="b">
        <v>0</v>
      </c>
      <c r="P542">
        <v>351247</v>
      </c>
    </row>
    <row r="543" spans="1:16" x14ac:dyDescent="0.3">
      <c r="A543" t="s">
        <v>1038</v>
      </c>
      <c r="B543" t="s">
        <v>1039</v>
      </c>
      <c r="C543" t="s">
        <v>18</v>
      </c>
      <c r="D543" t="s">
        <v>19</v>
      </c>
      <c r="E543" t="s">
        <v>20</v>
      </c>
      <c r="F543">
        <v>763</v>
      </c>
      <c r="G543">
        <v>352010</v>
      </c>
      <c r="H543">
        <v>2023</v>
      </c>
      <c r="I543">
        <v>3</v>
      </c>
      <c r="J543" t="s">
        <v>170</v>
      </c>
      <c r="K543">
        <v>1</v>
      </c>
      <c r="L543" t="s">
        <v>31</v>
      </c>
      <c r="M543">
        <v>1</v>
      </c>
      <c r="N543" t="b">
        <v>1</v>
      </c>
      <c r="O543" t="b">
        <v>0</v>
      </c>
      <c r="P543">
        <v>352010</v>
      </c>
    </row>
    <row r="544" spans="1:16" x14ac:dyDescent="0.3">
      <c r="A544" t="s">
        <v>1040</v>
      </c>
      <c r="B544" t="s">
        <v>1041</v>
      </c>
      <c r="C544" t="s">
        <v>18</v>
      </c>
      <c r="D544" t="s">
        <v>19</v>
      </c>
      <c r="E544" t="s">
        <v>20</v>
      </c>
      <c r="F544">
        <v>581</v>
      </c>
      <c r="G544">
        <v>352591</v>
      </c>
      <c r="H544">
        <v>2023</v>
      </c>
      <c r="I544">
        <v>3</v>
      </c>
      <c r="J544" t="s">
        <v>170</v>
      </c>
      <c r="K544">
        <v>1</v>
      </c>
      <c r="L544" t="s">
        <v>38</v>
      </c>
      <c r="M544">
        <v>2</v>
      </c>
      <c r="N544" t="b">
        <v>1</v>
      </c>
      <c r="O544" t="b">
        <v>0</v>
      </c>
      <c r="P544">
        <v>352591</v>
      </c>
    </row>
    <row r="545" spans="1:16" x14ac:dyDescent="0.3">
      <c r="A545" t="s">
        <v>1040</v>
      </c>
      <c r="B545" t="s">
        <v>1042</v>
      </c>
      <c r="C545" t="s">
        <v>137</v>
      </c>
      <c r="D545" t="s">
        <v>34</v>
      </c>
      <c r="E545" t="s">
        <v>35</v>
      </c>
      <c r="F545">
        <v>279</v>
      </c>
      <c r="G545">
        <v>352312</v>
      </c>
      <c r="H545">
        <v>2023</v>
      </c>
      <c r="I545">
        <v>3</v>
      </c>
      <c r="J545" t="s">
        <v>170</v>
      </c>
      <c r="K545">
        <v>1</v>
      </c>
      <c r="L545" t="s">
        <v>38</v>
      </c>
      <c r="M545">
        <v>2</v>
      </c>
      <c r="N545" t="b">
        <v>0</v>
      </c>
      <c r="O545" t="b">
        <v>1</v>
      </c>
      <c r="P545">
        <v>352312</v>
      </c>
    </row>
    <row r="546" spans="1:16" x14ac:dyDescent="0.3">
      <c r="A546" t="s">
        <v>1043</v>
      </c>
      <c r="B546" t="s">
        <v>1044</v>
      </c>
      <c r="C546" t="s">
        <v>18</v>
      </c>
      <c r="D546" t="s">
        <v>19</v>
      </c>
      <c r="E546" t="s">
        <v>20</v>
      </c>
      <c r="F546">
        <v>743</v>
      </c>
      <c r="G546">
        <v>353055</v>
      </c>
      <c r="H546">
        <v>2023</v>
      </c>
      <c r="I546">
        <v>3</v>
      </c>
      <c r="J546" t="s">
        <v>170</v>
      </c>
      <c r="K546">
        <v>1</v>
      </c>
      <c r="L546" t="s">
        <v>41</v>
      </c>
      <c r="M546">
        <v>3</v>
      </c>
      <c r="N546" t="b">
        <v>1</v>
      </c>
      <c r="O546" t="b">
        <v>0</v>
      </c>
      <c r="P546">
        <v>353055</v>
      </c>
    </row>
    <row r="547" spans="1:16" x14ac:dyDescent="0.3">
      <c r="A547" t="s">
        <v>1045</v>
      </c>
      <c r="B547" t="s">
        <v>1046</v>
      </c>
      <c r="C547" t="s">
        <v>18</v>
      </c>
      <c r="D547" t="s">
        <v>19</v>
      </c>
      <c r="E547" t="s">
        <v>20</v>
      </c>
      <c r="F547">
        <v>684</v>
      </c>
      <c r="G547">
        <v>353739</v>
      </c>
      <c r="H547">
        <v>2023</v>
      </c>
      <c r="I547">
        <v>3</v>
      </c>
      <c r="J547" t="s">
        <v>170</v>
      </c>
      <c r="K547">
        <v>1</v>
      </c>
      <c r="L547" t="s">
        <v>44</v>
      </c>
      <c r="M547">
        <v>4</v>
      </c>
      <c r="N547" t="b">
        <v>1</v>
      </c>
      <c r="O547" t="b">
        <v>0</v>
      </c>
      <c r="P547">
        <v>353739</v>
      </c>
    </row>
    <row r="548" spans="1:16" x14ac:dyDescent="0.3">
      <c r="A548" t="s">
        <v>1047</v>
      </c>
      <c r="B548" t="s">
        <v>1048</v>
      </c>
      <c r="C548" t="s">
        <v>18</v>
      </c>
      <c r="D548" t="s">
        <v>19</v>
      </c>
      <c r="E548" t="s">
        <v>20</v>
      </c>
      <c r="F548">
        <v>549</v>
      </c>
      <c r="G548">
        <v>354288</v>
      </c>
      <c r="H548">
        <v>2023</v>
      </c>
      <c r="I548">
        <v>4</v>
      </c>
      <c r="J548" t="s">
        <v>238</v>
      </c>
      <c r="K548">
        <v>2</v>
      </c>
      <c r="L548" t="s">
        <v>22</v>
      </c>
      <c r="M548">
        <v>5</v>
      </c>
      <c r="N548" t="b">
        <v>1</v>
      </c>
      <c r="O548" t="b">
        <v>0</v>
      </c>
      <c r="P548">
        <v>354288</v>
      </c>
    </row>
    <row r="549" spans="1:16" x14ac:dyDescent="0.3">
      <c r="A549" t="s">
        <v>1049</v>
      </c>
      <c r="B549" t="s">
        <v>1050</v>
      </c>
      <c r="C549" t="s">
        <v>18</v>
      </c>
      <c r="D549" t="s">
        <v>19</v>
      </c>
      <c r="E549" t="s">
        <v>20</v>
      </c>
      <c r="F549">
        <v>769</v>
      </c>
      <c r="G549">
        <v>355057</v>
      </c>
      <c r="H549">
        <v>2023</v>
      </c>
      <c r="I549">
        <v>4</v>
      </c>
      <c r="J549" t="s">
        <v>238</v>
      </c>
      <c r="K549">
        <v>2</v>
      </c>
      <c r="L549" t="s">
        <v>25</v>
      </c>
      <c r="M549">
        <v>6</v>
      </c>
      <c r="N549" t="b">
        <v>1</v>
      </c>
      <c r="O549" t="b">
        <v>0</v>
      </c>
      <c r="P549">
        <v>355057</v>
      </c>
    </row>
    <row r="550" spans="1:16" x14ac:dyDescent="0.3">
      <c r="A550" t="s">
        <v>1051</v>
      </c>
      <c r="B550" t="s">
        <v>1052</v>
      </c>
      <c r="C550" t="s">
        <v>18</v>
      </c>
      <c r="D550" t="s">
        <v>19</v>
      </c>
      <c r="E550" t="s">
        <v>20</v>
      </c>
      <c r="F550">
        <v>736</v>
      </c>
      <c r="G550">
        <v>355793</v>
      </c>
      <c r="H550">
        <v>2023</v>
      </c>
      <c r="I550">
        <v>4</v>
      </c>
      <c r="J550" t="s">
        <v>238</v>
      </c>
      <c r="K550">
        <v>2</v>
      </c>
      <c r="L550" t="s">
        <v>28</v>
      </c>
      <c r="M550">
        <v>0</v>
      </c>
      <c r="N550" t="b">
        <v>1</v>
      </c>
      <c r="O550" t="b">
        <v>0</v>
      </c>
      <c r="P550">
        <v>355793</v>
      </c>
    </row>
    <row r="551" spans="1:16" x14ac:dyDescent="0.3">
      <c r="A551" t="s">
        <v>1053</v>
      </c>
      <c r="B551" t="s">
        <v>1054</v>
      </c>
      <c r="C551" t="s">
        <v>18</v>
      </c>
      <c r="D551" t="s">
        <v>19</v>
      </c>
      <c r="E551" t="s">
        <v>20</v>
      </c>
      <c r="F551">
        <v>576</v>
      </c>
      <c r="G551">
        <v>356369</v>
      </c>
      <c r="H551">
        <v>2023</v>
      </c>
      <c r="I551">
        <v>4</v>
      </c>
      <c r="J551" t="s">
        <v>238</v>
      </c>
      <c r="K551">
        <v>2</v>
      </c>
      <c r="L551" t="s">
        <v>31</v>
      </c>
      <c r="M551">
        <v>1</v>
      </c>
      <c r="N551" t="b">
        <v>1</v>
      </c>
      <c r="O551" t="b">
        <v>0</v>
      </c>
      <c r="P551">
        <v>356369</v>
      </c>
    </row>
    <row r="552" spans="1:16" x14ac:dyDescent="0.3">
      <c r="A552" t="s">
        <v>1055</v>
      </c>
      <c r="B552" t="s">
        <v>1056</v>
      </c>
      <c r="C552" t="s">
        <v>18</v>
      </c>
      <c r="D552" t="s">
        <v>19</v>
      </c>
      <c r="E552" t="s">
        <v>20</v>
      </c>
      <c r="F552">
        <v>741</v>
      </c>
      <c r="G552">
        <v>357110</v>
      </c>
      <c r="H552">
        <v>2023</v>
      </c>
      <c r="I552">
        <v>4</v>
      </c>
      <c r="J552" t="s">
        <v>238</v>
      </c>
      <c r="K552">
        <v>2</v>
      </c>
      <c r="L552" t="s">
        <v>38</v>
      </c>
      <c r="M552">
        <v>2</v>
      </c>
      <c r="N552" t="b">
        <v>1</v>
      </c>
      <c r="O552" t="b">
        <v>0</v>
      </c>
      <c r="P552">
        <v>357110</v>
      </c>
    </row>
    <row r="553" spans="1:16" x14ac:dyDescent="0.3">
      <c r="A553" t="s">
        <v>1055</v>
      </c>
      <c r="B553" t="s">
        <v>1057</v>
      </c>
      <c r="C553" t="s">
        <v>55</v>
      </c>
      <c r="D553" t="s">
        <v>56</v>
      </c>
      <c r="E553" t="s">
        <v>35</v>
      </c>
      <c r="F553">
        <v>288</v>
      </c>
      <c r="G553">
        <v>356822</v>
      </c>
      <c r="H553">
        <v>2023</v>
      </c>
      <c r="I553">
        <v>4</v>
      </c>
      <c r="J553" t="s">
        <v>238</v>
      </c>
      <c r="K553">
        <v>2</v>
      </c>
      <c r="L553" t="s">
        <v>38</v>
      </c>
      <c r="M553">
        <v>2</v>
      </c>
      <c r="N553" t="b">
        <v>0</v>
      </c>
      <c r="O553" t="b">
        <v>1</v>
      </c>
      <c r="P553">
        <v>356822</v>
      </c>
    </row>
    <row r="554" spans="1:16" x14ac:dyDescent="0.3">
      <c r="A554" t="s">
        <v>1058</v>
      </c>
      <c r="B554" t="s">
        <v>1059</v>
      </c>
      <c r="C554" t="s">
        <v>18</v>
      </c>
      <c r="D554" t="s">
        <v>19</v>
      </c>
      <c r="E554" t="s">
        <v>20</v>
      </c>
      <c r="F554">
        <v>726</v>
      </c>
      <c r="G554">
        <v>357548</v>
      </c>
      <c r="H554">
        <v>2023</v>
      </c>
      <c r="I554">
        <v>4</v>
      </c>
      <c r="J554" t="s">
        <v>238</v>
      </c>
      <c r="K554">
        <v>2</v>
      </c>
      <c r="L554" t="s">
        <v>41</v>
      </c>
      <c r="M554">
        <v>3</v>
      </c>
      <c r="N554" t="b">
        <v>1</v>
      </c>
      <c r="O554" t="b">
        <v>0</v>
      </c>
      <c r="P554">
        <v>357548</v>
      </c>
    </row>
    <row r="555" spans="1:16" x14ac:dyDescent="0.3">
      <c r="A555" t="s">
        <v>1060</v>
      </c>
      <c r="B555" t="s">
        <v>1061</v>
      </c>
      <c r="C555" t="s">
        <v>18</v>
      </c>
      <c r="D555" t="s">
        <v>19</v>
      </c>
      <c r="E555" t="s">
        <v>20</v>
      </c>
      <c r="F555">
        <v>540</v>
      </c>
      <c r="G555">
        <v>358088</v>
      </c>
      <c r="H555">
        <v>2023</v>
      </c>
      <c r="I555">
        <v>4</v>
      </c>
      <c r="J555" t="s">
        <v>238</v>
      </c>
      <c r="K555">
        <v>2</v>
      </c>
      <c r="L555" t="s">
        <v>44</v>
      </c>
      <c r="M555">
        <v>4</v>
      </c>
      <c r="N555" t="b">
        <v>1</v>
      </c>
      <c r="O555" t="b">
        <v>0</v>
      </c>
      <c r="P555">
        <v>358088</v>
      </c>
    </row>
    <row r="556" spans="1:16" x14ac:dyDescent="0.3">
      <c r="A556" t="s">
        <v>1062</v>
      </c>
      <c r="B556" t="s">
        <v>1063</v>
      </c>
      <c r="C556" t="s">
        <v>18</v>
      </c>
      <c r="D556" t="s">
        <v>19</v>
      </c>
      <c r="E556" t="s">
        <v>20</v>
      </c>
      <c r="F556">
        <v>778</v>
      </c>
      <c r="G556">
        <v>358866</v>
      </c>
      <c r="H556">
        <v>2023</v>
      </c>
      <c r="I556">
        <v>4</v>
      </c>
      <c r="J556" t="s">
        <v>238</v>
      </c>
      <c r="K556">
        <v>2</v>
      </c>
      <c r="L556" t="s">
        <v>22</v>
      </c>
      <c r="M556">
        <v>5</v>
      </c>
      <c r="N556" t="b">
        <v>1</v>
      </c>
      <c r="O556" t="b">
        <v>0</v>
      </c>
      <c r="P556">
        <v>358866</v>
      </c>
    </row>
    <row r="557" spans="1:16" x14ac:dyDescent="0.3">
      <c r="A557" t="s">
        <v>1064</v>
      </c>
      <c r="B557" t="s">
        <v>1065</v>
      </c>
      <c r="C557" t="s">
        <v>18</v>
      </c>
      <c r="D557" t="s">
        <v>19</v>
      </c>
      <c r="E557" t="s">
        <v>20</v>
      </c>
      <c r="F557">
        <v>717</v>
      </c>
      <c r="G557">
        <v>359583</v>
      </c>
      <c r="H557">
        <v>2023</v>
      </c>
      <c r="I557">
        <v>4</v>
      </c>
      <c r="J557" t="s">
        <v>238</v>
      </c>
      <c r="K557">
        <v>2</v>
      </c>
      <c r="L557" t="s">
        <v>25</v>
      </c>
      <c r="M557">
        <v>6</v>
      </c>
      <c r="N557" t="b">
        <v>1</v>
      </c>
      <c r="O557" t="b">
        <v>0</v>
      </c>
      <c r="P557">
        <v>359583</v>
      </c>
    </row>
    <row r="558" spans="1:16" x14ac:dyDescent="0.3">
      <c r="A558" t="s">
        <v>1066</v>
      </c>
      <c r="B558" t="s">
        <v>1067</v>
      </c>
      <c r="C558" t="s">
        <v>18</v>
      </c>
      <c r="D558" t="s">
        <v>19</v>
      </c>
      <c r="E558" t="s">
        <v>20</v>
      </c>
      <c r="F558">
        <v>684</v>
      </c>
      <c r="G558">
        <v>360267</v>
      </c>
      <c r="H558">
        <v>2023</v>
      </c>
      <c r="I558">
        <v>4</v>
      </c>
      <c r="J558" t="s">
        <v>238</v>
      </c>
      <c r="K558">
        <v>2</v>
      </c>
      <c r="L558" t="s">
        <v>28</v>
      </c>
      <c r="M558">
        <v>0</v>
      </c>
      <c r="N558" t="b">
        <v>1</v>
      </c>
      <c r="O558" t="b">
        <v>0</v>
      </c>
      <c r="P558">
        <v>360267</v>
      </c>
    </row>
    <row r="559" spans="1:16" x14ac:dyDescent="0.3">
      <c r="A559" t="s">
        <v>1068</v>
      </c>
      <c r="B559" t="s">
        <v>1069</v>
      </c>
      <c r="C559" t="s">
        <v>18</v>
      </c>
      <c r="D559" t="s">
        <v>19</v>
      </c>
      <c r="E559" t="s">
        <v>20</v>
      </c>
      <c r="F559">
        <v>685</v>
      </c>
      <c r="G559">
        <v>360952</v>
      </c>
      <c r="H559">
        <v>2023</v>
      </c>
      <c r="I559">
        <v>4</v>
      </c>
      <c r="J559" t="s">
        <v>238</v>
      </c>
      <c r="K559">
        <v>2</v>
      </c>
      <c r="L559" t="s">
        <v>31</v>
      </c>
      <c r="M559">
        <v>1</v>
      </c>
      <c r="N559" t="b">
        <v>1</v>
      </c>
      <c r="O559" t="b">
        <v>0</v>
      </c>
      <c r="P559">
        <v>360952</v>
      </c>
    </row>
    <row r="560" spans="1:16" x14ac:dyDescent="0.3">
      <c r="A560" t="s">
        <v>1070</v>
      </c>
      <c r="B560" t="s">
        <v>1071</v>
      </c>
      <c r="C560" t="s">
        <v>18</v>
      </c>
      <c r="D560" t="s">
        <v>19</v>
      </c>
      <c r="E560" t="s">
        <v>20</v>
      </c>
      <c r="F560">
        <v>418</v>
      </c>
      <c r="G560">
        <v>361370</v>
      </c>
      <c r="H560">
        <v>2023</v>
      </c>
      <c r="I560">
        <v>4</v>
      </c>
      <c r="J560" t="s">
        <v>238</v>
      </c>
      <c r="K560">
        <v>2</v>
      </c>
      <c r="L560" t="s">
        <v>38</v>
      </c>
      <c r="M560">
        <v>2</v>
      </c>
      <c r="N560" t="b">
        <v>1</v>
      </c>
      <c r="O560" t="b">
        <v>0</v>
      </c>
      <c r="P560">
        <v>361370</v>
      </c>
    </row>
    <row r="561" spans="1:16" x14ac:dyDescent="0.3">
      <c r="A561" t="s">
        <v>1070</v>
      </c>
      <c r="B561" t="s">
        <v>1072</v>
      </c>
      <c r="C561" t="s">
        <v>33</v>
      </c>
      <c r="D561" t="s">
        <v>34</v>
      </c>
      <c r="E561" t="s">
        <v>35</v>
      </c>
      <c r="F561">
        <v>177</v>
      </c>
      <c r="G561">
        <v>361193</v>
      </c>
      <c r="H561">
        <v>2023</v>
      </c>
      <c r="I561">
        <v>4</v>
      </c>
      <c r="J561" t="s">
        <v>238</v>
      </c>
      <c r="K561">
        <v>2</v>
      </c>
      <c r="L561" t="s">
        <v>38</v>
      </c>
      <c r="M561">
        <v>2</v>
      </c>
      <c r="N561" t="b">
        <v>0</v>
      </c>
      <c r="O561" t="b">
        <v>1</v>
      </c>
      <c r="P561">
        <v>361193</v>
      </c>
    </row>
    <row r="562" spans="1:16" x14ac:dyDescent="0.3">
      <c r="A562" t="s">
        <v>1073</v>
      </c>
      <c r="B562" t="s">
        <v>1074</v>
      </c>
      <c r="C562" t="s">
        <v>18</v>
      </c>
      <c r="D562" t="s">
        <v>19</v>
      </c>
      <c r="E562" t="s">
        <v>20</v>
      </c>
      <c r="F562">
        <v>574</v>
      </c>
      <c r="G562">
        <v>361767</v>
      </c>
      <c r="H562">
        <v>2023</v>
      </c>
      <c r="I562">
        <v>4</v>
      </c>
      <c r="J562" t="s">
        <v>238</v>
      </c>
      <c r="K562">
        <v>2</v>
      </c>
      <c r="L562" t="s">
        <v>41</v>
      </c>
      <c r="M562">
        <v>3</v>
      </c>
      <c r="N562" t="b">
        <v>1</v>
      </c>
      <c r="O562" t="b">
        <v>0</v>
      </c>
      <c r="P562">
        <v>361767</v>
      </c>
    </row>
    <row r="563" spans="1:16" x14ac:dyDescent="0.3">
      <c r="A563" t="s">
        <v>1075</v>
      </c>
      <c r="B563" t="s">
        <v>1076</v>
      </c>
      <c r="C563" t="s">
        <v>18</v>
      </c>
      <c r="D563" t="s">
        <v>19</v>
      </c>
      <c r="E563" t="s">
        <v>20</v>
      </c>
      <c r="F563">
        <v>512</v>
      </c>
      <c r="G563">
        <v>362279</v>
      </c>
      <c r="H563">
        <v>2023</v>
      </c>
      <c r="I563">
        <v>4</v>
      </c>
      <c r="J563" t="s">
        <v>238</v>
      </c>
      <c r="K563">
        <v>2</v>
      </c>
      <c r="L563" t="s">
        <v>44</v>
      </c>
      <c r="M563">
        <v>4</v>
      </c>
      <c r="N563" t="b">
        <v>1</v>
      </c>
      <c r="O563" t="b">
        <v>0</v>
      </c>
      <c r="P563">
        <v>362279</v>
      </c>
    </row>
    <row r="564" spans="1:16" x14ac:dyDescent="0.3">
      <c r="A564" t="s">
        <v>1077</v>
      </c>
      <c r="B564" t="s">
        <v>1078</v>
      </c>
      <c r="C564" t="s">
        <v>18</v>
      </c>
      <c r="D564" t="s">
        <v>19</v>
      </c>
      <c r="E564" t="s">
        <v>20</v>
      </c>
      <c r="F564">
        <v>565</v>
      </c>
      <c r="G564">
        <v>362844</v>
      </c>
      <c r="H564">
        <v>2023</v>
      </c>
      <c r="I564">
        <v>4</v>
      </c>
      <c r="J564" t="s">
        <v>238</v>
      </c>
      <c r="K564">
        <v>2</v>
      </c>
      <c r="L564" t="s">
        <v>22</v>
      </c>
      <c r="M564">
        <v>5</v>
      </c>
      <c r="N564" t="b">
        <v>1</v>
      </c>
      <c r="O564" t="b">
        <v>0</v>
      </c>
      <c r="P564">
        <v>362844</v>
      </c>
    </row>
    <row r="565" spans="1:16" x14ac:dyDescent="0.3">
      <c r="A565" t="s">
        <v>1079</v>
      </c>
      <c r="B565" t="s">
        <v>1080</v>
      </c>
      <c r="C565" t="s">
        <v>18</v>
      </c>
      <c r="D565" t="s">
        <v>19</v>
      </c>
      <c r="E565" t="s">
        <v>20</v>
      </c>
      <c r="F565">
        <v>531</v>
      </c>
      <c r="G565">
        <v>363375</v>
      </c>
      <c r="H565">
        <v>2023</v>
      </c>
      <c r="I565">
        <v>4</v>
      </c>
      <c r="J565" t="s">
        <v>238</v>
      </c>
      <c r="K565">
        <v>2</v>
      </c>
      <c r="L565" t="s">
        <v>25</v>
      </c>
      <c r="M565">
        <v>6</v>
      </c>
      <c r="N565" t="b">
        <v>1</v>
      </c>
      <c r="O565" t="b">
        <v>0</v>
      </c>
      <c r="P565">
        <v>363375</v>
      </c>
    </row>
    <row r="566" spans="1:16" x14ac:dyDescent="0.3">
      <c r="A566" t="s">
        <v>1079</v>
      </c>
      <c r="B566" t="s">
        <v>1081</v>
      </c>
      <c r="C566" t="s">
        <v>33</v>
      </c>
      <c r="D566" t="s">
        <v>34</v>
      </c>
      <c r="E566" t="s">
        <v>35</v>
      </c>
      <c r="F566">
        <v>154</v>
      </c>
      <c r="G566">
        <v>363221</v>
      </c>
      <c r="H566">
        <v>2023</v>
      </c>
      <c r="I566">
        <v>4</v>
      </c>
      <c r="J566" t="s">
        <v>238</v>
      </c>
      <c r="K566">
        <v>2</v>
      </c>
      <c r="L566" t="s">
        <v>25</v>
      </c>
      <c r="M566">
        <v>6</v>
      </c>
      <c r="N566" t="b">
        <v>0</v>
      </c>
      <c r="O566" t="b">
        <v>1</v>
      </c>
      <c r="P566">
        <v>363221</v>
      </c>
    </row>
    <row r="567" spans="1:16" x14ac:dyDescent="0.3">
      <c r="A567" t="s">
        <v>1082</v>
      </c>
      <c r="B567" t="s">
        <v>1083</v>
      </c>
      <c r="C567" t="s">
        <v>18</v>
      </c>
      <c r="D567" t="s">
        <v>19</v>
      </c>
      <c r="E567" t="s">
        <v>20</v>
      </c>
      <c r="F567">
        <v>687</v>
      </c>
      <c r="G567">
        <v>363908</v>
      </c>
      <c r="H567">
        <v>2023</v>
      </c>
      <c r="I567">
        <v>4</v>
      </c>
      <c r="J567" t="s">
        <v>238</v>
      </c>
      <c r="K567">
        <v>2</v>
      </c>
      <c r="L567" t="s">
        <v>28</v>
      </c>
      <c r="M567">
        <v>0</v>
      </c>
      <c r="N567" t="b">
        <v>1</v>
      </c>
      <c r="O567" t="b">
        <v>0</v>
      </c>
      <c r="P567">
        <v>363908</v>
      </c>
    </row>
    <row r="568" spans="1:16" x14ac:dyDescent="0.3">
      <c r="A568" t="s">
        <v>1084</v>
      </c>
      <c r="B568" t="s">
        <v>1085</v>
      </c>
      <c r="C568" t="s">
        <v>18</v>
      </c>
      <c r="D568" t="s">
        <v>19</v>
      </c>
      <c r="E568" t="s">
        <v>20</v>
      </c>
      <c r="F568">
        <v>765</v>
      </c>
      <c r="G568">
        <v>364673</v>
      </c>
      <c r="H568">
        <v>2023</v>
      </c>
      <c r="I568">
        <v>4</v>
      </c>
      <c r="J568" t="s">
        <v>238</v>
      </c>
      <c r="K568">
        <v>2</v>
      </c>
      <c r="L568" t="s">
        <v>31</v>
      </c>
      <c r="M568">
        <v>1</v>
      </c>
      <c r="N568" t="b">
        <v>1</v>
      </c>
      <c r="O568" t="b">
        <v>0</v>
      </c>
      <c r="P568">
        <v>364673</v>
      </c>
    </row>
    <row r="569" spans="1:16" x14ac:dyDescent="0.3">
      <c r="A569" t="s">
        <v>1086</v>
      </c>
      <c r="B569" t="s">
        <v>1087</v>
      </c>
      <c r="C569" t="s">
        <v>18</v>
      </c>
      <c r="D569" t="s">
        <v>19</v>
      </c>
      <c r="E569" t="s">
        <v>20</v>
      </c>
      <c r="F569">
        <v>486</v>
      </c>
      <c r="G569">
        <v>365159</v>
      </c>
      <c r="H569">
        <v>2023</v>
      </c>
      <c r="I569">
        <v>4</v>
      </c>
      <c r="J569" t="s">
        <v>238</v>
      </c>
      <c r="K569">
        <v>2</v>
      </c>
      <c r="L569" t="s">
        <v>38</v>
      </c>
      <c r="M569">
        <v>2</v>
      </c>
      <c r="N569" t="b">
        <v>1</v>
      </c>
      <c r="O569" t="b">
        <v>0</v>
      </c>
      <c r="P569">
        <v>365159</v>
      </c>
    </row>
    <row r="570" spans="1:16" x14ac:dyDescent="0.3">
      <c r="A570" t="s">
        <v>1088</v>
      </c>
      <c r="B570" t="s">
        <v>1089</v>
      </c>
      <c r="C570" t="s">
        <v>18</v>
      </c>
      <c r="D570" t="s">
        <v>19</v>
      </c>
      <c r="E570" t="s">
        <v>20</v>
      </c>
      <c r="F570">
        <v>687</v>
      </c>
      <c r="G570">
        <v>365846</v>
      </c>
      <c r="H570">
        <v>2023</v>
      </c>
      <c r="I570">
        <v>4</v>
      </c>
      <c r="J570" t="s">
        <v>238</v>
      </c>
      <c r="K570">
        <v>2</v>
      </c>
      <c r="L570" t="s">
        <v>41</v>
      </c>
      <c r="M570">
        <v>3</v>
      </c>
      <c r="N570" t="b">
        <v>1</v>
      </c>
      <c r="O570" t="b">
        <v>0</v>
      </c>
      <c r="P570">
        <v>365846</v>
      </c>
    </row>
    <row r="571" spans="1:16" x14ac:dyDescent="0.3">
      <c r="A571" t="s">
        <v>1090</v>
      </c>
      <c r="B571" t="s">
        <v>1091</v>
      </c>
      <c r="C571" t="s">
        <v>18</v>
      </c>
      <c r="D571" t="s">
        <v>19</v>
      </c>
      <c r="E571" t="s">
        <v>20</v>
      </c>
      <c r="F571">
        <v>748</v>
      </c>
      <c r="G571">
        <v>366594</v>
      </c>
      <c r="H571">
        <v>2023</v>
      </c>
      <c r="I571">
        <v>4</v>
      </c>
      <c r="J571" t="s">
        <v>238</v>
      </c>
      <c r="K571">
        <v>2</v>
      </c>
      <c r="L571" t="s">
        <v>44</v>
      </c>
      <c r="M571">
        <v>4</v>
      </c>
      <c r="N571" t="b">
        <v>1</v>
      </c>
      <c r="O571" t="b">
        <v>0</v>
      </c>
      <c r="P571">
        <v>366594</v>
      </c>
    </row>
    <row r="572" spans="1:16" x14ac:dyDescent="0.3">
      <c r="A572" t="s">
        <v>1092</v>
      </c>
      <c r="B572" t="s">
        <v>1093</v>
      </c>
      <c r="C572" t="s">
        <v>18</v>
      </c>
      <c r="D572" t="s">
        <v>19</v>
      </c>
      <c r="E572" t="s">
        <v>20</v>
      </c>
      <c r="F572">
        <v>712</v>
      </c>
      <c r="G572">
        <v>367306</v>
      </c>
      <c r="H572">
        <v>2023</v>
      </c>
      <c r="I572">
        <v>4</v>
      </c>
      <c r="J572" t="s">
        <v>238</v>
      </c>
      <c r="K572">
        <v>2</v>
      </c>
      <c r="L572" t="s">
        <v>22</v>
      </c>
      <c r="M572">
        <v>5</v>
      </c>
      <c r="N572" t="b">
        <v>1</v>
      </c>
      <c r="O572" t="b">
        <v>0</v>
      </c>
      <c r="P572">
        <v>367306</v>
      </c>
    </row>
    <row r="573" spans="1:16" x14ac:dyDescent="0.3">
      <c r="A573" t="s">
        <v>1094</v>
      </c>
      <c r="B573" t="s">
        <v>1095</v>
      </c>
      <c r="C573" t="s">
        <v>18</v>
      </c>
      <c r="D573" t="s">
        <v>19</v>
      </c>
      <c r="E573" t="s">
        <v>20</v>
      </c>
      <c r="F573">
        <v>654</v>
      </c>
      <c r="G573">
        <v>367960</v>
      </c>
      <c r="H573">
        <v>2023</v>
      </c>
      <c r="I573">
        <v>4</v>
      </c>
      <c r="J573" t="s">
        <v>238</v>
      </c>
      <c r="K573">
        <v>2</v>
      </c>
      <c r="L573" t="s">
        <v>25</v>
      </c>
      <c r="M573">
        <v>6</v>
      </c>
      <c r="N573" t="b">
        <v>1</v>
      </c>
      <c r="O573" t="b">
        <v>0</v>
      </c>
      <c r="P573">
        <v>367960</v>
      </c>
    </row>
    <row r="574" spans="1:16" x14ac:dyDescent="0.3">
      <c r="A574" t="s">
        <v>1094</v>
      </c>
      <c r="B574" t="s">
        <v>1096</v>
      </c>
      <c r="C574" t="s">
        <v>55</v>
      </c>
      <c r="D574" t="s">
        <v>56</v>
      </c>
      <c r="E574" t="s">
        <v>35</v>
      </c>
      <c r="F574">
        <v>153</v>
      </c>
      <c r="G574">
        <v>367807</v>
      </c>
      <c r="H574">
        <v>2023</v>
      </c>
      <c r="I574">
        <v>4</v>
      </c>
      <c r="J574" t="s">
        <v>238</v>
      </c>
      <c r="K574">
        <v>2</v>
      </c>
      <c r="L574" t="s">
        <v>25</v>
      </c>
      <c r="M574">
        <v>6</v>
      </c>
      <c r="N574" t="b">
        <v>0</v>
      </c>
      <c r="O574" t="b">
        <v>1</v>
      </c>
      <c r="P574">
        <v>367807</v>
      </c>
    </row>
    <row r="575" spans="1:16" x14ac:dyDescent="0.3">
      <c r="A575" t="s">
        <v>1097</v>
      </c>
      <c r="B575" t="s">
        <v>1098</v>
      </c>
      <c r="C575" t="s">
        <v>18</v>
      </c>
      <c r="D575" t="s">
        <v>19</v>
      </c>
      <c r="E575" t="s">
        <v>20</v>
      </c>
      <c r="F575">
        <v>638</v>
      </c>
      <c r="G575">
        <v>368445</v>
      </c>
      <c r="H575">
        <v>2023</v>
      </c>
      <c r="I575">
        <v>4</v>
      </c>
      <c r="J575" t="s">
        <v>238</v>
      </c>
      <c r="K575">
        <v>2</v>
      </c>
      <c r="L575" t="s">
        <v>28</v>
      </c>
      <c r="M575">
        <v>0</v>
      </c>
      <c r="N575" t="b">
        <v>1</v>
      </c>
      <c r="O575" t="b">
        <v>0</v>
      </c>
      <c r="P575">
        <v>368445</v>
      </c>
    </row>
    <row r="576" spans="1:16" x14ac:dyDescent="0.3">
      <c r="A576" t="s">
        <v>1099</v>
      </c>
      <c r="B576" t="s">
        <v>1100</v>
      </c>
      <c r="C576" t="s">
        <v>18</v>
      </c>
      <c r="D576" t="s">
        <v>19</v>
      </c>
      <c r="E576" t="s">
        <v>20</v>
      </c>
      <c r="F576">
        <v>450</v>
      </c>
      <c r="G576">
        <v>368895</v>
      </c>
      <c r="H576">
        <v>2023</v>
      </c>
      <c r="I576">
        <v>4</v>
      </c>
      <c r="J576" t="s">
        <v>238</v>
      </c>
      <c r="K576">
        <v>2</v>
      </c>
      <c r="L576" t="s">
        <v>31</v>
      </c>
      <c r="M576">
        <v>1</v>
      </c>
      <c r="N576" t="b">
        <v>1</v>
      </c>
      <c r="O576" t="b">
        <v>0</v>
      </c>
      <c r="P576">
        <v>368895</v>
      </c>
    </row>
    <row r="577" spans="1:16" x14ac:dyDescent="0.3">
      <c r="A577" t="s">
        <v>1101</v>
      </c>
      <c r="B577" t="s">
        <v>1102</v>
      </c>
      <c r="C577" t="s">
        <v>33</v>
      </c>
      <c r="D577" t="s">
        <v>34</v>
      </c>
      <c r="E577" t="s">
        <v>35</v>
      </c>
      <c r="F577">
        <v>195</v>
      </c>
      <c r="G577">
        <v>369363</v>
      </c>
      <c r="H577">
        <v>2023</v>
      </c>
      <c r="I577">
        <v>4</v>
      </c>
      <c r="J577" t="s">
        <v>238</v>
      </c>
      <c r="K577">
        <v>2</v>
      </c>
      <c r="L577" t="s">
        <v>38</v>
      </c>
      <c r="M577">
        <v>2</v>
      </c>
      <c r="N577" t="b">
        <v>0</v>
      </c>
      <c r="O577" t="b">
        <v>1</v>
      </c>
      <c r="P577">
        <v>368700</v>
      </c>
    </row>
    <row r="578" spans="1:16" x14ac:dyDescent="0.3">
      <c r="A578" t="s">
        <v>1101</v>
      </c>
      <c r="B578" t="s">
        <v>1103</v>
      </c>
      <c r="C578" t="s">
        <v>18</v>
      </c>
      <c r="D578" t="s">
        <v>19</v>
      </c>
      <c r="E578" t="s">
        <v>20</v>
      </c>
      <c r="F578">
        <v>663</v>
      </c>
      <c r="G578">
        <v>369558</v>
      </c>
      <c r="H578">
        <v>2023</v>
      </c>
      <c r="I578">
        <v>4</v>
      </c>
      <c r="J578" t="s">
        <v>238</v>
      </c>
      <c r="K578">
        <v>2</v>
      </c>
      <c r="L578" t="s">
        <v>38</v>
      </c>
      <c r="M578">
        <v>2</v>
      </c>
      <c r="N578" t="b">
        <v>1</v>
      </c>
      <c r="O578" t="b">
        <v>0</v>
      </c>
      <c r="P578">
        <v>369363</v>
      </c>
    </row>
    <row r="579" spans="1:16" x14ac:dyDescent="0.3">
      <c r="A579" t="s">
        <v>1104</v>
      </c>
      <c r="B579" t="s">
        <v>1105</v>
      </c>
      <c r="C579" t="s">
        <v>18</v>
      </c>
      <c r="D579" t="s">
        <v>19</v>
      </c>
      <c r="E579" t="s">
        <v>20</v>
      </c>
      <c r="F579">
        <v>799</v>
      </c>
      <c r="G579">
        <v>370162</v>
      </c>
      <c r="H579">
        <v>2023</v>
      </c>
      <c r="I579">
        <v>4</v>
      </c>
      <c r="J579" t="s">
        <v>238</v>
      </c>
      <c r="K579">
        <v>2</v>
      </c>
      <c r="L579" t="s">
        <v>41</v>
      </c>
      <c r="M579">
        <v>3</v>
      </c>
      <c r="N579" t="b">
        <v>1</v>
      </c>
      <c r="O579" t="b">
        <v>0</v>
      </c>
      <c r="P579">
        <v>370162</v>
      </c>
    </row>
    <row r="580" spans="1:16" x14ac:dyDescent="0.3">
      <c r="A580" t="s">
        <v>1106</v>
      </c>
      <c r="B580" t="s">
        <v>1107</v>
      </c>
      <c r="C580" t="s">
        <v>18</v>
      </c>
      <c r="D580" t="s">
        <v>19</v>
      </c>
      <c r="E580" t="s">
        <v>20</v>
      </c>
      <c r="F580">
        <v>564</v>
      </c>
      <c r="G580">
        <v>370726</v>
      </c>
      <c r="H580">
        <v>2023</v>
      </c>
      <c r="I580">
        <v>4</v>
      </c>
      <c r="J580" t="s">
        <v>238</v>
      </c>
      <c r="K580">
        <v>2</v>
      </c>
      <c r="L580" t="s">
        <v>44</v>
      </c>
      <c r="M580">
        <v>4</v>
      </c>
      <c r="N580" t="b">
        <v>1</v>
      </c>
      <c r="O580" t="b">
        <v>0</v>
      </c>
      <c r="P580">
        <v>370726</v>
      </c>
    </row>
    <row r="581" spans="1:16" x14ac:dyDescent="0.3">
      <c r="A581" t="s">
        <v>1106</v>
      </c>
      <c r="B581" t="s">
        <v>1108</v>
      </c>
      <c r="C581" t="s">
        <v>88</v>
      </c>
      <c r="D581" t="s">
        <v>56</v>
      </c>
      <c r="E581" t="s">
        <v>35</v>
      </c>
      <c r="F581">
        <v>497</v>
      </c>
      <c r="G581">
        <v>370229</v>
      </c>
      <c r="H581">
        <v>2023</v>
      </c>
      <c r="I581">
        <v>4</v>
      </c>
      <c r="J581" t="s">
        <v>238</v>
      </c>
      <c r="K581">
        <v>2</v>
      </c>
      <c r="L581" t="s">
        <v>44</v>
      </c>
      <c r="M581">
        <v>4</v>
      </c>
      <c r="N581" t="b">
        <v>0</v>
      </c>
      <c r="O581" t="b">
        <v>1</v>
      </c>
      <c r="P581">
        <v>370229</v>
      </c>
    </row>
    <row r="582" spans="1:16" x14ac:dyDescent="0.3">
      <c r="A582" t="s">
        <v>1109</v>
      </c>
      <c r="B582" t="s">
        <v>1110</v>
      </c>
      <c r="C582" t="s">
        <v>18</v>
      </c>
      <c r="D582" t="s">
        <v>19</v>
      </c>
      <c r="E582" t="s">
        <v>20</v>
      </c>
      <c r="F582">
        <v>406</v>
      </c>
      <c r="G582">
        <v>370635</v>
      </c>
      <c r="H582">
        <v>2023</v>
      </c>
      <c r="I582">
        <v>4</v>
      </c>
      <c r="J582" t="s">
        <v>238</v>
      </c>
      <c r="K582">
        <v>2</v>
      </c>
      <c r="L582" t="s">
        <v>22</v>
      </c>
      <c r="M582">
        <v>5</v>
      </c>
      <c r="N582" t="b">
        <v>1</v>
      </c>
      <c r="O582" t="b">
        <v>0</v>
      </c>
      <c r="P582">
        <v>370635</v>
      </c>
    </row>
    <row r="583" spans="1:16" x14ac:dyDescent="0.3">
      <c r="A583" t="s">
        <v>1111</v>
      </c>
      <c r="B583" t="s">
        <v>1112</v>
      </c>
      <c r="C583" t="s">
        <v>18</v>
      </c>
      <c r="D583" t="s">
        <v>19</v>
      </c>
      <c r="E583" t="s">
        <v>20</v>
      </c>
      <c r="F583">
        <v>560</v>
      </c>
      <c r="G583">
        <v>371195</v>
      </c>
      <c r="H583">
        <v>2023</v>
      </c>
      <c r="I583">
        <v>4</v>
      </c>
      <c r="J583" t="s">
        <v>238</v>
      </c>
      <c r="K583">
        <v>2</v>
      </c>
      <c r="L583" t="s">
        <v>25</v>
      </c>
      <c r="M583">
        <v>6</v>
      </c>
      <c r="N583" t="b">
        <v>1</v>
      </c>
      <c r="O583" t="b">
        <v>0</v>
      </c>
      <c r="P583">
        <v>371195</v>
      </c>
    </row>
    <row r="584" spans="1:16" x14ac:dyDescent="0.3">
      <c r="A584" t="s">
        <v>1113</v>
      </c>
      <c r="B584" t="s">
        <v>1114</v>
      </c>
      <c r="C584" t="s">
        <v>18</v>
      </c>
      <c r="D584" t="s">
        <v>19</v>
      </c>
      <c r="E584" t="s">
        <v>20</v>
      </c>
      <c r="F584">
        <v>546</v>
      </c>
      <c r="G584">
        <v>371741</v>
      </c>
      <c r="H584">
        <v>2023</v>
      </c>
      <c r="I584">
        <v>5</v>
      </c>
      <c r="J584" t="s">
        <v>305</v>
      </c>
      <c r="K584">
        <v>2</v>
      </c>
      <c r="L584" t="s">
        <v>28</v>
      </c>
      <c r="M584">
        <v>0</v>
      </c>
      <c r="N584" t="b">
        <v>1</v>
      </c>
      <c r="O584" t="b">
        <v>0</v>
      </c>
      <c r="P584">
        <v>371741</v>
      </c>
    </row>
    <row r="585" spans="1:16" x14ac:dyDescent="0.3">
      <c r="A585" t="s">
        <v>1113</v>
      </c>
      <c r="B585" t="s">
        <v>1115</v>
      </c>
      <c r="C585" t="s">
        <v>137</v>
      </c>
      <c r="D585" t="s">
        <v>34</v>
      </c>
      <c r="E585" t="s">
        <v>35</v>
      </c>
      <c r="F585">
        <v>135</v>
      </c>
      <c r="G585">
        <v>371606</v>
      </c>
      <c r="H585">
        <v>2023</v>
      </c>
      <c r="I585">
        <v>5</v>
      </c>
      <c r="J585" t="s">
        <v>305</v>
      </c>
      <c r="K585">
        <v>2</v>
      </c>
      <c r="L585" t="s">
        <v>28</v>
      </c>
      <c r="M585">
        <v>0</v>
      </c>
      <c r="N585" t="b">
        <v>0</v>
      </c>
      <c r="O585" t="b">
        <v>1</v>
      </c>
      <c r="P585">
        <v>371606</v>
      </c>
    </row>
    <row r="586" spans="1:16" x14ac:dyDescent="0.3">
      <c r="A586" t="s">
        <v>1116</v>
      </c>
      <c r="B586" t="s">
        <v>1117</v>
      </c>
      <c r="C586" t="s">
        <v>18</v>
      </c>
      <c r="D586" t="s">
        <v>19</v>
      </c>
      <c r="E586" t="s">
        <v>20</v>
      </c>
      <c r="F586">
        <v>587</v>
      </c>
      <c r="G586">
        <v>372193</v>
      </c>
      <c r="H586">
        <v>2023</v>
      </c>
      <c r="I586">
        <v>5</v>
      </c>
      <c r="J586" t="s">
        <v>305</v>
      </c>
      <c r="K586">
        <v>2</v>
      </c>
      <c r="L586" t="s">
        <v>31</v>
      </c>
      <c r="M586">
        <v>1</v>
      </c>
      <c r="N586" t="b">
        <v>1</v>
      </c>
      <c r="O586" t="b">
        <v>0</v>
      </c>
      <c r="P586">
        <v>372193</v>
      </c>
    </row>
    <row r="587" spans="1:16" x14ac:dyDescent="0.3">
      <c r="A587" t="s">
        <v>1118</v>
      </c>
      <c r="B587" t="s">
        <v>1119</v>
      </c>
      <c r="C587" t="s">
        <v>18</v>
      </c>
      <c r="D587" t="s">
        <v>19</v>
      </c>
      <c r="E587" t="s">
        <v>20</v>
      </c>
      <c r="F587">
        <v>784</v>
      </c>
      <c r="G587">
        <v>372977</v>
      </c>
      <c r="H587">
        <v>2023</v>
      </c>
      <c r="I587">
        <v>5</v>
      </c>
      <c r="J587" t="s">
        <v>305</v>
      </c>
      <c r="K587">
        <v>2</v>
      </c>
      <c r="L587" t="s">
        <v>38</v>
      </c>
      <c r="M587">
        <v>2</v>
      </c>
      <c r="N587" t="b">
        <v>1</v>
      </c>
      <c r="O587" t="b">
        <v>0</v>
      </c>
      <c r="P587">
        <v>372977</v>
      </c>
    </row>
    <row r="588" spans="1:16" x14ac:dyDescent="0.3">
      <c r="A588" t="s">
        <v>1120</v>
      </c>
      <c r="B588" t="s">
        <v>1121</v>
      </c>
      <c r="C588" t="s">
        <v>18</v>
      </c>
      <c r="D588" t="s">
        <v>19</v>
      </c>
      <c r="E588" t="s">
        <v>20</v>
      </c>
      <c r="F588">
        <v>410</v>
      </c>
      <c r="G588">
        <v>373387</v>
      </c>
      <c r="H588">
        <v>2023</v>
      </c>
      <c r="I588">
        <v>5</v>
      </c>
      <c r="J588" t="s">
        <v>305</v>
      </c>
      <c r="K588">
        <v>2</v>
      </c>
      <c r="L588" t="s">
        <v>41</v>
      </c>
      <c r="M588">
        <v>3</v>
      </c>
      <c r="N588" t="b">
        <v>1</v>
      </c>
      <c r="O588" t="b">
        <v>0</v>
      </c>
      <c r="P588">
        <v>373387</v>
      </c>
    </row>
    <row r="589" spans="1:16" x14ac:dyDescent="0.3">
      <c r="A589" t="s">
        <v>1122</v>
      </c>
      <c r="B589" t="s">
        <v>1123</v>
      </c>
      <c r="C589" t="s">
        <v>18</v>
      </c>
      <c r="D589" t="s">
        <v>19</v>
      </c>
      <c r="E589" t="s">
        <v>20</v>
      </c>
      <c r="F589">
        <v>785</v>
      </c>
      <c r="G589">
        <v>374172</v>
      </c>
      <c r="H589">
        <v>2023</v>
      </c>
      <c r="I589">
        <v>5</v>
      </c>
      <c r="J589" t="s">
        <v>305</v>
      </c>
      <c r="K589">
        <v>2</v>
      </c>
      <c r="L589" t="s">
        <v>44</v>
      </c>
      <c r="M589">
        <v>4</v>
      </c>
      <c r="N589" t="b">
        <v>1</v>
      </c>
      <c r="O589" t="b">
        <v>0</v>
      </c>
      <c r="P589">
        <v>374172</v>
      </c>
    </row>
    <row r="590" spans="1:16" x14ac:dyDescent="0.3">
      <c r="A590" t="s">
        <v>1124</v>
      </c>
      <c r="B590" t="s">
        <v>1125</v>
      </c>
      <c r="C590" t="s">
        <v>18</v>
      </c>
      <c r="D590" t="s">
        <v>19</v>
      </c>
      <c r="E590" t="s">
        <v>20</v>
      </c>
      <c r="F590">
        <v>518</v>
      </c>
      <c r="G590">
        <v>374690</v>
      </c>
      <c r="H590">
        <v>2023</v>
      </c>
      <c r="I590">
        <v>5</v>
      </c>
      <c r="J590" t="s">
        <v>305</v>
      </c>
      <c r="K590">
        <v>2</v>
      </c>
      <c r="L590" t="s">
        <v>22</v>
      </c>
      <c r="M590">
        <v>5</v>
      </c>
      <c r="N590" t="b">
        <v>1</v>
      </c>
      <c r="O590" t="b">
        <v>0</v>
      </c>
      <c r="P590">
        <v>374690</v>
      </c>
    </row>
    <row r="591" spans="1:16" x14ac:dyDescent="0.3">
      <c r="A591" t="s">
        <v>1126</v>
      </c>
      <c r="B591" t="s">
        <v>1127</v>
      </c>
      <c r="C591" t="s">
        <v>18</v>
      </c>
      <c r="D591" t="s">
        <v>19</v>
      </c>
      <c r="E591" t="s">
        <v>20</v>
      </c>
      <c r="F591">
        <v>660</v>
      </c>
      <c r="G591">
        <v>375350</v>
      </c>
      <c r="H591">
        <v>2023</v>
      </c>
      <c r="I591">
        <v>5</v>
      </c>
      <c r="J591" t="s">
        <v>305</v>
      </c>
      <c r="K591">
        <v>2</v>
      </c>
      <c r="L591" t="s">
        <v>25</v>
      </c>
      <c r="M591">
        <v>6</v>
      </c>
      <c r="N591" t="b">
        <v>1</v>
      </c>
      <c r="O591" t="b">
        <v>0</v>
      </c>
      <c r="P591">
        <v>375350</v>
      </c>
    </row>
    <row r="592" spans="1:16" x14ac:dyDescent="0.3">
      <c r="A592" t="s">
        <v>1128</v>
      </c>
      <c r="B592" t="s">
        <v>1129</v>
      </c>
      <c r="C592" t="s">
        <v>18</v>
      </c>
      <c r="D592" t="s">
        <v>19</v>
      </c>
      <c r="E592" t="s">
        <v>20</v>
      </c>
      <c r="F592">
        <v>655</v>
      </c>
      <c r="G592">
        <v>376005</v>
      </c>
      <c r="H592">
        <v>2023</v>
      </c>
      <c r="I592">
        <v>5</v>
      </c>
      <c r="J592" t="s">
        <v>305</v>
      </c>
      <c r="K592">
        <v>2</v>
      </c>
      <c r="L592" t="s">
        <v>28</v>
      </c>
      <c r="M592">
        <v>0</v>
      </c>
      <c r="N592" t="b">
        <v>1</v>
      </c>
      <c r="O592" t="b">
        <v>0</v>
      </c>
      <c r="P592">
        <v>376005</v>
      </c>
    </row>
    <row r="593" spans="1:16" x14ac:dyDescent="0.3">
      <c r="A593" t="s">
        <v>1130</v>
      </c>
      <c r="B593" t="s">
        <v>1131</v>
      </c>
      <c r="C593" t="s">
        <v>18</v>
      </c>
      <c r="D593" t="s">
        <v>19</v>
      </c>
      <c r="E593" t="s">
        <v>20</v>
      </c>
      <c r="F593">
        <v>625</v>
      </c>
      <c r="G593">
        <v>376630</v>
      </c>
      <c r="H593">
        <v>2023</v>
      </c>
      <c r="I593">
        <v>5</v>
      </c>
      <c r="J593" t="s">
        <v>305</v>
      </c>
      <c r="K593">
        <v>2</v>
      </c>
      <c r="L593" t="s">
        <v>31</v>
      </c>
      <c r="M593">
        <v>1</v>
      </c>
      <c r="N593" t="b">
        <v>1</v>
      </c>
      <c r="O593" t="b">
        <v>0</v>
      </c>
      <c r="P593">
        <v>376630</v>
      </c>
    </row>
    <row r="594" spans="1:16" x14ac:dyDescent="0.3">
      <c r="A594" t="s">
        <v>1132</v>
      </c>
      <c r="B594" t="s">
        <v>1133</v>
      </c>
      <c r="C594" t="s">
        <v>18</v>
      </c>
      <c r="D594" t="s">
        <v>19</v>
      </c>
      <c r="E594" t="s">
        <v>20</v>
      </c>
      <c r="F594">
        <v>754</v>
      </c>
      <c r="G594">
        <v>377384</v>
      </c>
      <c r="H594">
        <v>2023</v>
      </c>
      <c r="I594">
        <v>5</v>
      </c>
      <c r="J594" t="s">
        <v>305</v>
      </c>
      <c r="K594">
        <v>2</v>
      </c>
      <c r="L594" t="s">
        <v>38</v>
      </c>
      <c r="M594">
        <v>2</v>
      </c>
      <c r="N594" t="b">
        <v>1</v>
      </c>
      <c r="O594" t="b">
        <v>0</v>
      </c>
      <c r="P594">
        <v>377384</v>
      </c>
    </row>
    <row r="595" spans="1:16" x14ac:dyDescent="0.3">
      <c r="A595" t="s">
        <v>1134</v>
      </c>
      <c r="B595" t="s">
        <v>1135</v>
      </c>
      <c r="C595" t="s">
        <v>18</v>
      </c>
      <c r="D595" t="s">
        <v>19</v>
      </c>
      <c r="E595" t="s">
        <v>20</v>
      </c>
      <c r="F595">
        <v>741</v>
      </c>
      <c r="G595">
        <v>378125</v>
      </c>
      <c r="H595">
        <v>2023</v>
      </c>
      <c r="I595">
        <v>5</v>
      </c>
      <c r="J595" t="s">
        <v>305</v>
      </c>
      <c r="K595">
        <v>2</v>
      </c>
      <c r="L595" t="s">
        <v>41</v>
      </c>
      <c r="M595">
        <v>3</v>
      </c>
      <c r="N595" t="b">
        <v>1</v>
      </c>
      <c r="O595" t="b">
        <v>0</v>
      </c>
      <c r="P595">
        <v>378125</v>
      </c>
    </row>
    <row r="596" spans="1:16" x14ac:dyDescent="0.3">
      <c r="A596" t="s">
        <v>1136</v>
      </c>
      <c r="B596" t="s">
        <v>1137</v>
      </c>
      <c r="C596" t="s">
        <v>18</v>
      </c>
      <c r="D596" t="s">
        <v>19</v>
      </c>
      <c r="E596" t="s">
        <v>20</v>
      </c>
      <c r="F596">
        <v>480</v>
      </c>
      <c r="G596">
        <v>378605</v>
      </c>
      <c r="H596">
        <v>2023</v>
      </c>
      <c r="I596">
        <v>5</v>
      </c>
      <c r="J596" t="s">
        <v>305</v>
      </c>
      <c r="K596">
        <v>2</v>
      </c>
      <c r="L596" t="s">
        <v>44</v>
      </c>
      <c r="M596">
        <v>4</v>
      </c>
      <c r="N596" t="b">
        <v>1</v>
      </c>
      <c r="O596" t="b">
        <v>0</v>
      </c>
      <c r="P596">
        <v>378605</v>
      </c>
    </row>
    <row r="597" spans="1:16" x14ac:dyDescent="0.3">
      <c r="A597" t="s">
        <v>1138</v>
      </c>
      <c r="B597" t="s">
        <v>1139</v>
      </c>
      <c r="C597" t="s">
        <v>18</v>
      </c>
      <c r="D597" t="s">
        <v>19</v>
      </c>
      <c r="E597" t="s">
        <v>20</v>
      </c>
      <c r="F597">
        <v>519</v>
      </c>
      <c r="G597">
        <v>379124</v>
      </c>
      <c r="H597">
        <v>2023</v>
      </c>
      <c r="I597">
        <v>5</v>
      </c>
      <c r="J597" t="s">
        <v>305</v>
      </c>
      <c r="K597">
        <v>2</v>
      </c>
      <c r="L597" t="s">
        <v>22</v>
      </c>
      <c r="M597">
        <v>5</v>
      </c>
      <c r="N597" t="b">
        <v>1</v>
      </c>
      <c r="O597" t="b">
        <v>0</v>
      </c>
      <c r="P597">
        <v>379124</v>
      </c>
    </row>
    <row r="598" spans="1:16" x14ac:dyDescent="0.3">
      <c r="A598" t="s">
        <v>1140</v>
      </c>
      <c r="B598" t="s">
        <v>1141</v>
      </c>
      <c r="C598" t="s">
        <v>18</v>
      </c>
      <c r="D598" t="s">
        <v>19</v>
      </c>
      <c r="E598" t="s">
        <v>20</v>
      </c>
      <c r="F598">
        <v>614</v>
      </c>
      <c r="G598">
        <v>379738</v>
      </c>
      <c r="H598">
        <v>2023</v>
      </c>
      <c r="I598">
        <v>5</v>
      </c>
      <c r="J598" t="s">
        <v>305</v>
      </c>
      <c r="K598">
        <v>2</v>
      </c>
      <c r="L598" t="s">
        <v>25</v>
      </c>
      <c r="M598">
        <v>6</v>
      </c>
      <c r="N598" t="b">
        <v>1</v>
      </c>
      <c r="O598" t="b">
        <v>0</v>
      </c>
      <c r="P598">
        <v>379738</v>
      </c>
    </row>
    <row r="599" spans="1:16" x14ac:dyDescent="0.3">
      <c r="A599" t="s">
        <v>1142</v>
      </c>
      <c r="B599" t="s">
        <v>1143</v>
      </c>
      <c r="C599" t="s">
        <v>18</v>
      </c>
      <c r="D599" t="s">
        <v>19</v>
      </c>
      <c r="E599" t="s">
        <v>20</v>
      </c>
      <c r="F599">
        <v>608</v>
      </c>
      <c r="G599">
        <v>380346</v>
      </c>
      <c r="H599">
        <v>2023</v>
      </c>
      <c r="I599">
        <v>5</v>
      </c>
      <c r="J599" t="s">
        <v>305</v>
      </c>
      <c r="K599">
        <v>2</v>
      </c>
      <c r="L599" t="s">
        <v>28</v>
      </c>
      <c r="M599">
        <v>0</v>
      </c>
      <c r="N599" t="b">
        <v>1</v>
      </c>
      <c r="O599" t="b">
        <v>0</v>
      </c>
      <c r="P599">
        <v>380346</v>
      </c>
    </row>
    <row r="600" spans="1:16" x14ac:dyDescent="0.3">
      <c r="A600" t="s">
        <v>1144</v>
      </c>
      <c r="B600" t="s">
        <v>1145</v>
      </c>
      <c r="C600" t="s">
        <v>18</v>
      </c>
      <c r="D600" t="s">
        <v>19</v>
      </c>
      <c r="E600" t="s">
        <v>20</v>
      </c>
      <c r="F600">
        <v>608</v>
      </c>
      <c r="G600">
        <v>380954</v>
      </c>
      <c r="H600">
        <v>2023</v>
      </c>
      <c r="I600">
        <v>5</v>
      </c>
      <c r="J600" t="s">
        <v>305</v>
      </c>
      <c r="K600">
        <v>2</v>
      </c>
      <c r="L600" t="s">
        <v>31</v>
      </c>
      <c r="M600">
        <v>1</v>
      </c>
      <c r="N600" t="b">
        <v>1</v>
      </c>
      <c r="O600" t="b">
        <v>0</v>
      </c>
      <c r="P600">
        <v>380954</v>
      </c>
    </row>
    <row r="601" spans="1:16" x14ac:dyDescent="0.3">
      <c r="A601" t="s">
        <v>1146</v>
      </c>
      <c r="B601" t="s">
        <v>1147</v>
      </c>
      <c r="C601" t="s">
        <v>18</v>
      </c>
      <c r="D601" t="s">
        <v>19</v>
      </c>
      <c r="E601" t="s">
        <v>20</v>
      </c>
      <c r="F601">
        <v>439</v>
      </c>
      <c r="G601">
        <v>381393</v>
      </c>
      <c r="H601">
        <v>2023</v>
      </c>
      <c r="I601">
        <v>5</v>
      </c>
      <c r="J601" t="s">
        <v>305</v>
      </c>
      <c r="K601">
        <v>2</v>
      </c>
      <c r="L601" t="s">
        <v>38</v>
      </c>
      <c r="M601">
        <v>2</v>
      </c>
      <c r="N601" t="b">
        <v>1</v>
      </c>
      <c r="O601" t="b">
        <v>0</v>
      </c>
      <c r="P601">
        <v>381393</v>
      </c>
    </row>
    <row r="602" spans="1:16" x14ac:dyDescent="0.3">
      <c r="A602" t="s">
        <v>1148</v>
      </c>
      <c r="B602" t="s">
        <v>1149</v>
      </c>
      <c r="C602" t="s">
        <v>18</v>
      </c>
      <c r="D602" t="s">
        <v>19</v>
      </c>
      <c r="E602" t="s">
        <v>20</v>
      </c>
      <c r="F602">
        <v>680</v>
      </c>
      <c r="G602">
        <v>382073</v>
      </c>
      <c r="H602">
        <v>2023</v>
      </c>
      <c r="I602">
        <v>5</v>
      </c>
      <c r="J602" t="s">
        <v>305</v>
      </c>
      <c r="K602">
        <v>2</v>
      </c>
      <c r="L602" t="s">
        <v>41</v>
      </c>
      <c r="M602">
        <v>3</v>
      </c>
      <c r="N602" t="b">
        <v>1</v>
      </c>
      <c r="O602" t="b">
        <v>0</v>
      </c>
      <c r="P602">
        <v>382073</v>
      </c>
    </row>
    <row r="603" spans="1:16" x14ac:dyDescent="0.3">
      <c r="A603" t="s">
        <v>1150</v>
      </c>
      <c r="B603" t="s">
        <v>1151</v>
      </c>
      <c r="C603" t="s">
        <v>18</v>
      </c>
      <c r="D603" t="s">
        <v>19</v>
      </c>
      <c r="E603" t="s">
        <v>20</v>
      </c>
      <c r="F603">
        <v>645</v>
      </c>
      <c r="G603">
        <v>382718</v>
      </c>
      <c r="H603">
        <v>2023</v>
      </c>
      <c r="I603">
        <v>5</v>
      </c>
      <c r="J603" t="s">
        <v>305</v>
      </c>
      <c r="K603">
        <v>2</v>
      </c>
      <c r="L603" t="s">
        <v>44</v>
      </c>
      <c r="M603">
        <v>4</v>
      </c>
      <c r="N603" t="b">
        <v>1</v>
      </c>
      <c r="O603" t="b">
        <v>0</v>
      </c>
      <c r="P603">
        <v>382718</v>
      </c>
    </row>
    <row r="604" spans="1:16" x14ac:dyDescent="0.3">
      <c r="A604" t="s">
        <v>1152</v>
      </c>
      <c r="B604" t="s">
        <v>1153</v>
      </c>
      <c r="C604" t="s">
        <v>137</v>
      </c>
      <c r="D604" t="s">
        <v>34</v>
      </c>
      <c r="E604" t="s">
        <v>35</v>
      </c>
      <c r="F604">
        <v>128</v>
      </c>
      <c r="G604">
        <v>382993</v>
      </c>
      <c r="H604">
        <v>2023</v>
      </c>
      <c r="I604">
        <v>5</v>
      </c>
      <c r="J604" t="s">
        <v>305</v>
      </c>
      <c r="K604">
        <v>2</v>
      </c>
      <c r="L604" t="s">
        <v>22</v>
      </c>
      <c r="M604">
        <v>5</v>
      </c>
      <c r="N604" t="b">
        <v>0</v>
      </c>
      <c r="O604" t="b">
        <v>1</v>
      </c>
      <c r="P604">
        <v>382590</v>
      </c>
    </row>
    <row r="605" spans="1:16" x14ac:dyDescent="0.3">
      <c r="A605" t="s">
        <v>1152</v>
      </c>
      <c r="B605" t="s">
        <v>1154</v>
      </c>
      <c r="C605" t="s">
        <v>18</v>
      </c>
      <c r="D605" t="s">
        <v>19</v>
      </c>
      <c r="E605" t="s">
        <v>20</v>
      </c>
      <c r="F605">
        <v>403</v>
      </c>
      <c r="G605">
        <v>383121</v>
      </c>
      <c r="H605">
        <v>2023</v>
      </c>
      <c r="I605">
        <v>5</v>
      </c>
      <c r="J605" t="s">
        <v>305</v>
      </c>
      <c r="K605">
        <v>2</v>
      </c>
      <c r="L605" t="s">
        <v>22</v>
      </c>
      <c r="M605">
        <v>5</v>
      </c>
      <c r="N605" t="b">
        <v>1</v>
      </c>
      <c r="O605" t="b">
        <v>0</v>
      </c>
      <c r="P605">
        <v>382993</v>
      </c>
    </row>
    <row r="606" spans="1:16" x14ac:dyDescent="0.3">
      <c r="A606" t="s">
        <v>1155</v>
      </c>
      <c r="B606" t="s">
        <v>1156</v>
      </c>
      <c r="C606" t="s">
        <v>18</v>
      </c>
      <c r="D606" t="s">
        <v>19</v>
      </c>
      <c r="E606" t="s">
        <v>20</v>
      </c>
      <c r="F606">
        <v>497</v>
      </c>
      <c r="G606">
        <v>383490</v>
      </c>
      <c r="H606">
        <v>2023</v>
      </c>
      <c r="I606">
        <v>5</v>
      </c>
      <c r="J606" t="s">
        <v>305</v>
      </c>
      <c r="K606">
        <v>2</v>
      </c>
      <c r="L606" t="s">
        <v>25</v>
      </c>
      <c r="M606">
        <v>6</v>
      </c>
      <c r="N606" t="b">
        <v>1</v>
      </c>
      <c r="O606" t="b">
        <v>0</v>
      </c>
      <c r="P606">
        <v>383490</v>
      </c>
    </row>
    <row r="607" spans="1:16" x14ac:dyDescent="0.3">
      <c r="A607" t="s">
        <v>1157</v>
      </c>
      <c r="B607" t="s">
        <v>1158</v>
      </c>
      <c r="C607" t="s">
        <v>18</v>
      </c>
      <c r="D607" t="s">
        <v>19</v>
      </c>
      <c r="E607" t="s">
        <v>20</v>
      </c>
      <c r="F607">
        <v>474</v>
      </c>
      <c r="G607">
        <v>383964</v>
      </c>
      <c r="H607">
        <v>2023</v>
      </c>
      <c r="I607">
        <v>5</v>
      </c>
      <c r="J607" t="s">
        <v>305</v>
      </c>
      <c r="K607">
        <v>2</v>
      </c>
      <c r="L607" t="s">
        <v>28</v>
      </c>
      <c r="M607">
        <v>0</v>
      </c>
      <c r="N607" t="b">
        <v>1</v>
      </c>
      <c r="O607" t="b">
        <v>0</v>
      </c>
      <c r="P607">
        <v>383964</v>
      </c>
    </row>
    <row r="608" spans="1:16" x14ac:dyDescent="0.3">
      <c r="A608" t="s">
        <v>1159</v>
      </c>
      <c r="B608" t="s">
        <v>1160</v>
      </c>
      <c r="C608" t="s">
        <v>18</v>
      </c>
      <c r="D608" t="s">
        <v>19</v>
      </c>
      <c r="E608" t="s">
        <v>20</v>
      </c>
      <c r="F608">
        <v>527</v>
      </c>
      <c r="G608">
        <v>384491</v>
      </c>
      <c r="H608">
        <v>2023</v>
      </c>
      <c r="I608">
        <v>5</v>
      </c>
      <c r="J608" t="s">
        <v>305</v>
      </c>
      <c r="K608">
        <v>2</v>
      </c>
      <c r="L608" t="s">
        <v>31</v>
      </c>
      <c r="M608">
        <v>1</v>
      </c>
      <c r="N608" t="b">
        <v>1</v>
      </c>
      <c r="O608" t="b">
        <v>0</v>
      </c>
      <c r="P608">
        <v>384491</v>
      </c>
    </row>
    <row r="609" spans="1:16" x14ac:dyDescent="0.3">
      <c r="A609" t="s">
        <v>1159</v>
      </c>
      <c r="B609" t="s">
        <v>1161</v>
      </c>
      <c r="C609" t="s">
        <v>55</v>
      </c>
      <c r="D609" t="s">
        <v>56</v>
      </c>
      <c r="E609" t="s">
        <v>35</v>
      </c>
      <c r="F609">
        <v>455</v>
      </c>
      <c r="G609">
        <v>384036</v>
      </c>
      <c r="H609">
        <v>2023</v>
      </c>
      <c r="I609">
        <v>5</v>
      </c>
      <c r="J609" t="s">
        <v>305</v>
      </c>
      <c r="K609">
        <v>2</v>
      </c>
      <c r="L609" t="s">
        <v>31</v>
      </c>
      <c r="M609">
        <v>1</v>
      </c>
      <c r="N609" t="b">
        <v>0</v>
      </c>
      <c r="O609" t="b">
        <v>1</v>
      </c>
      <c r="P609">
        <v>384036</v>
      </c>
    </row>
    <row r="610" spans="1:16" x14ac:dyDescent="0.3">
      <c r="A610" t="s">
        <v>1162</v>
      </c>
      <c r="B610" t="s">
        <v>1163</v>
      </c>
      <c r="C610" t="s">
        <v>18</v>
      </c>
      <c r="D610" t="s">
        <v>19</v>
      </c>
      <c r="E610" t="s">
        <v>20</v>
      </c>
      <c r="F610">
        <v>433</v>
      </c>
      <c r="G610">
        <v>384469</v>
      </c>
      <c r="H610">
        <v>2023</v>
      </c>
      <c r="I610">
        <v>5</v>
      </c>
      <c r="J610" t="s">
        <v>305</v>
      </c>
      <c r="K610">
        <v>2</v>
      </c>
      <c r="L610" t="s">
        <v>38</v>
      </c>
      <c r="M610">
        <v>2</v>
      </c>
      <c r="N610" t="b">
        <v>1</v>
      </c>
      <c r="O610" t="b">
        <v>0</v>
      </c>
      <c r="P610">
        <v>384469</v>
      </c>
    </row>
    <row r="611" spans="1:16" x14ac:dyDescent="0.3">
      <c r="A611" t="s">
        <v>1164</v>
      </c>
      <c r="B611" t="s">
        <v>1165</v>
      </c>
      <c r="C611" t="s">
        <v>18</v>
      </c>
      <c r="D611" t="s">
        <v>19</v>
      </c>
      <c r="E611" t="s">
        <v>20</v>
      </c>
      <c r="F611">
        <v>552</v>
      </c>
      <c r="G611">
        <v>385021</v>
      </c>
      <c r="H611">
        <v>2023</v>
      </c>
      <c r="I611">
        <v>5</v>
      </c>
      <c r="J611" t="s">
        <v>305</v>
      </c>
      <c r="K611">
        <v>2</v>
      </c>
      <c r="L611" t="s">
        <v>41</v>
      </c>
      <c r="M611">
        <v>3</v>
      </c>
      <c r="N611" t="b">
        <v>1</v>
      </c>
      <c r="O611" t="b">
        <v>0</v>
      </c>
      <c r="P611">
        <v>385021</v>
      </c>
    </row>
    <row r="612" spans="1:16" x14ac:dyDescent="0.3">
      <c r="A612" t="s">
        <v>1166</v>
      </c>
      <c r="B612" t="s">
        <v>1167</v>
      </c>
      <c r="C612" t="s">
        <v>18</v>
      </c>
      <c r="D612" t="s">
        <v>19</v>
      </c>
      <c r="E612" t="s">
        <v>20</v>
      </c>
      <c r="F612">
        <v>475</v>
      </c>
      <c r="G612">
        <v>385496</v>
      </c>
      <c r="H612">
        <v>2023</v>
      </c>
      <c r="I612">
        <v>5</v>
      </c>
      <c r="J612" t="s">
        <v>305</v>
      </c>
      <c r="K612">
        <v>2</v>
      </c>
      <c r="L612" t="s">
        <v>44</v>
      </c>
      <c r="M612">
        <v>4</v>
      </c>
      <c r="N612" t="b">
        <v>1</v>
      </c>
      <c r="O612" t="b">
        <v>0</v>
      </c>
      <c r="P612">
        <v>385496</v>
      </c>
    </row>
    <row r="613" spans="1:16" x14ac:dyDescent="0.3">
      <c r="A613" t="s">
        <v>1168</v>
      </c>
      <c r="B613" t="s">
        <v>1169</v>
      </c>
      <c r="C613" t="s">
        <v>18</v>
      </c>
      <c r="D613" t="s">
        <v>19</v>
      </c>
      <c r="E613" t="s">
        <v>20</v>
      </c>
      <c r="F613">
        <v>761</v>
      </c>
      <c r="G613">
        <v>386257</v>
      </c>
      <c r="H613">
        <v>2023</v>
      </c>
      <c r="I613">
        <v>5</v>
      </c>
      <c r="J613" t="s">
        <v>305</v>
      </c>
      <c r="K613">
        <v>2</v>
      </c>
      <c r="L613" t="s">
        <v>22</v>
      </c>
      <c r="M613">
        <v>5</v>
      </c>
      <c r="N613" t="b">
        <v>1</v>
      </c>
      <c r="O613" t="b">
        <v>0</v>
      </c>
      <c r="P613">
        <v>386257</v>
      </c>
    </row>
    <row r="614" spans="1:16" x14ac:dyDescent="0.3">
      <c r="A614" t="s">
        <v>1168</v>
      </c>
      <c r="B614" t="s">
        <v>1170</v>
      </c>
      <c r="C614" t="s">
        <v>55</v>
      </c>
      <c r="D614" t="s">
        <v>56</v>
      </c>
      <c r="E614" t="s">
        <v>35</v>
      </c>
      <c r="F614">
        <v>126</v>
      </c>
      <c r="G614">
        <v>386131</v>
      </c>
      <c r="H614">
        <v>2023</v>
      </c>
      <c r="I614">
        <v>5</v>
      </c>
      <c r="J614" t="s">
        <v>305</v>
      </c>
      <c r="K614">
        <v>2</v>
      </c>
      <c r="L614" t="s">
        <v>22</v>
      </c>
      <c r="M614">
        <v>5</v>
      </c>
      <c r="N614" t="b">
        <v>0</v>
      </c>
      <c r="O614" t="b">
        <v>1</v>
      </c>
      <c r="P614">
        <v>386131</v>
      </c>
    </row>
    <row r="615" spans="1:16" x14ac:dyDescent="0.3">
      <c r="A615" t="s">
        <v>1171</v>
      </c>
      <c r="B615" t="s">
        <v>1172</v>
      </c>
      <c r="C615" t="s">
        <v>18</v>
      </c>
      <c r="D615" t="s">
        <v>19</v>
      </c>
      <c r="E615" t="s">
        <v>20</v>
      </c>
      <c r="F615">
        <v>686</v>
      </c>
      <c r="G615">
        <v>386817</v>
      </c>
      <c r="H615">
        <v>2023</v>
      </c>
      <c r="I615">
        <v>5</v>
      </c>
      <c r="J615" t="s">
        <v>305</v>
      </c>
      <c r="K615">
        <v>2</v>
      </c>
      <c r="L615" t="s">
        <v>25</v>
      </c>
      <c r="M615">
        <v>6</v>
      </c>
      <c r="N615" t="b">
        <v>1</v>
      </c>
      <c r="O615" t="b">
        <v>0</v>
      </c>
      <c r="P615">
        <v>386817</v>
      </c>
    </row>
    <row r="616" spans="1:16" x14ac:dyDescent="0.3">
      <c r="A616" t="s">
        <v>1173</v>
      </c>
      <c r="B616" t="s">
        <v>1174</v>
      </c>
      <c r="C616" t="s">
        <v>18</v>
      </c>
      <c r="D616" t="s">
        <v>19</v>
      </c>
      <c r="E616" t="s">
        <v>20</v>
      </c>
      <c r="F616">
        <v>567</v>
      </c>
      <c r="G616">
        <v>387384</v>
      </c>
      <c r="H616">
        <v>2023</v>
      </c>
      <c r="I616">
        <v>5</v>
      </c>
      <c r="J616" t="s">
        <v>305</v>
      </c>
      <c r="K616">
        <v>2</v>
      </c>
      <c r="L616" t="s">
        <v>28</v>
      </c>
      <c r="M616">
        <v>0</v>
      </c>
      <c r="N616" t="b">
        <v>1</v>
      </c>
      <c r="O616" t="b">
        <v>0</v>
      </c>
      <c r="P616">
        <v>387384</v>
      </c>
    </row>
    <row r="617" spans="1:16" x14ac:dyDescent="0.3">
      <c r="A617" t="s">
        <v>1175</v>
      </c>
      <c r="B617" t="s">
        <v>1176</v>
      </c>
      <c r="C617" t="s">
        <v>18</v>
      </c>
      <c r="D617" t="s">
        <v>19</v>
      </c>
      <c r="E617" t="s">
        <v>20</v>
      </c>
      <c r="F617">
        <v>636</v>
      </c>
      <c r="G617">
        <v>388020</v>
      </c>
      <c r="H617">
        <v>2023</v>
      </c>
      <c r="I617">
        <v>5</v>
      </c>
      <c r="J617" t="s">
        <v>305</v>
      </c>
      <c r="K617">
        <v>2</v>
      </c>
      <c r="L617" t="s">
        <v>31</v>
      </c>
      <c r="M617">
        <v>1</v>
      </c>
      <c r="N617" t="b">
        <v>1</v>
      </c>
      <c r="O617" t="b">
        <v>0</v>
      </c>
      <c r="P617">
        <v>388020</v>
      </c>
    </row>
    <row r="618" spans="1:16" x14ac:dyDescent="0.3">
      <c r="A618" t="s">
        <v>1177</v>
      </c>
      <c r="B618" t="s">
        <v>1178</v>
      </c>
      <c r="C618" t="s">
        <v>18</v>
      </c>
      <c r="D618" t="s">
        <v>19</v>
      </c>
      <c r="E618" t="s">
        <v>20</v>
      </c>
      <c r="F618">
        <v>793</v>
      </c>
      <c r="G618">
        <v>388813</v>
      </c>
      <c r="H618">
        <v>2023</v>
      </c>
      <c r="I618">
        <v>5</v>
      </c>
      <c r="J618" t="s">
        <v>305</v>
      </c>
      <c r="K618">
        <v>2</v>
      </c>
      <c r="L618" t="s">
        <v>38</v>
      </c>
      <c r="M618">
        <v>2</v>
      </c>
      <c r="N618" t="b">
        <v>1</v>
      </c>
      <c r="O618" t="b">
        <v>0</v>
      </c>
      <c r="P618">
        <v>388813</v>
      </c>
    </row>
    <row r="619" spans="1:16" x14ac:dyDescent="0.3">
      <c r="A619" t="s">
        <v>1179</v>
      </c>
      <c r="B619" t="s">
        <v>1180</v>
      </c>
      <c r="C619" t="s">
        <v>18</v>
      </c>
      <c r="D619" t="s">
        <v>19</v>
      </c>
      <c r="E619" t="s">
        <v>20</v>
      </c>
      <c r="F619">
        <v>589</v>
      </c>
      <c r="G619">
        <v>389402</v>
      </c>
      <c r="H619">
        <v>2023</v>
      </c>
      <c r="I619">
        <v>6</v>
      </c>
      <c r="J619" t="s">
        <v>371</v>
      </c>
      <c r="K619">
        <v>2</v>
      </c>
      <c r="L619" t="s">
        <v>41</v>
      </c>
      <c r="M619">
        <v>3</v>
      </c>
      <c r="N619" t="b">
        <v>1</v>
      </c>
      <c r="O619" t="b">
        <v>0</v>
      </c>
      <c r="P619">
        <v>389402</v>
      </c>
    </row>
    <row r="620" spans="1:16" x14ac:dyDescent="0.3">
      <c r="A620" t="s">
        <v>1181</v>
      </c>
      <c r="B620" t="s">
        <v>1182</v>
      </c>
      <c r="C620" t="s">
        <v>18</v>
      </c>
      <c r="D620" t="s">
        <v>19</v>
      </c>
      <c r="E620" t="s">
        <v>20</v>
      </c>
      <c r="F620">
        <v>463</v>
      </c>
      <c r="G620">
        <v>389865</v>
      </c>
      <c r="H620">
        <v>2023</v>
      </c>
      <c r="I620">
        <v>6</v>
      </c>
      <c r="J620" t="s">
        <v>371</v>
      </c>
      <c r="K620">
        <v>2</v>
      </c>
      <c r="L620" t="s">
        <v>44</v>
      </c>
      <c r="M620">
        <v>4</v>
      </c>
      <c r="N620" t="b">
        <v>1</v>
      </c>
      <c r="O620" t="b">
        <v>0</v>
      </c>
      <c r="P620">
        <v>389865</v>
      </c>
    </row>
    <row r="621" spans="1:16" x14ac:dyDescent="0.3">
      <c r="A621" t="s">
        <v>1183</v>
      </c>
      <c r="B621" t="s">
        <v>1184</v>
      </c>
      <c r="C621" t="s">
        <v>18</v>
      </c>
      <c r="D621" t="s">
        <v>19</v>
      </c>
      <c r="E621" t="s">
        <v>20</v>
      </c>
      <c r="F621">
        <v>709</v>
      </c>
      <c r="G621">
        <v>390574</v>
      </c>
      <c r="H621">
        <v>2023</v>
      </c>
      <c r="I621">
        <v>6</v>
      </c>
      <c r="J621" t="s">
        <v>371</v>
      </c>
      <c r="K621">
        <v>2</v>
      </c>
      <c r="L621" t="s">
        <v>22</v>
      </c>
      <c r="M621">
        <v>5</v>
      </c>
      <c r="N621" t="b">
        <v>1</v>
      </c>
      <c r="O621" t="b">
        <v>0</v>
      </c>
      <c r="P621">
        <v>390574</v>
      </c>
    </row>
    <row r="622" spans="1:16" x14ac:dyDescent="0.3">
      <c r="A622" t="s">
        <v>1185</v>
      </c>
      <c r="B622" t="s">
        <v>1186</v>
      </c>
      <c r="C622" t="s">
        <v>18</v>
      </c>
      <c r="D622" t="s">
        <v>19</v>
      </c>
      <c r="E622" t="s">
        <v>20</v>
      </c>
      <c r="F622">
        <v>706</v>
      </c>
      <c r="G622">
        <v>391280</v>
      </c>
      <c r="H622">
        <v>2023</v>
      </c>
      <c r="I622">
        <v>6</v>
      </c>
      <c r="J622" t="s">
        <v>371</v>
      </c>
      <c r="K622">
        <v>2</v>
      </c>
      <c r="L622" t="s">
        <v>25</v>
      </c>
      <c r="M622">
        <v>6</v>
      </c>
      <c r="N622" t="b">
        <v>1</v>
      </c>
      <c r="O622" t="b">
        <v>0</v>
      </c>
      <c r="P622">
        <v>391280</v>
      </c>
    </row>
    <row r="623" spans="1:16" x14ac:dyDescent="0.3">
      <c r="A623" t="s">
        <v>1185</v>
      </c>
      <c r="B623" t="s">
        <v>1187</v>
      </c>
      <c r="C623" t="s">
        <v>88</v>
      </c>
      <c r="D623" t="s">
        <v>56</v>
      </c>
      <c r="E623" t="s">
        <v>35</v>
      </c>
      <c r="F623">
        <v>470</v>
      </c>
      <c r="G623">
        <v>390810</v>
      </c>
      <c r="H623">
        <v>2023</v>
      </c>
      <c r="I623">
        <v>6</v>
      </c>
      <c r="J623" t="s">
        <v>371</v>
      </c>
      <c r="K623">
        <v>2</v>
      </c>
      <c r="L623" t="s">
        <v>25</v>
      </c>
      <c r="M623">
        <v>6</v>
      </c>
      <c r="N623" t="b">
        <v>0</v>
      </c>
      <c r="O623" t="b">
        <v>1</v>
      </c>
      <c r="P623">
        <v>390810</v>
      </c>
    </row>
    <row r="624" spans="1:16" x14ac:dyDescent="0.3">
      <c r="A624" t="s">
        <v>1188</v>
      </c>
      <c r="B624" t="s">
        <v>1189</v>
      </c>
      <c r="C624" t="s">
        <v>18</v>
      </c>
      <c r="D624" t="s">
        <v>19</v>
      </c>
      <c r="E624" t="s">
        <v>20</v>
      </c>
      <c r="F624">
        <v>428</v>
      </c>
      <c r="G624">
        <v>391238</v>
      </c>
      <c r="H624">
        <v>2023</v>
      </c>
      <c r="I624">
        <v>6</v>
      </c>
      <c r="J624" t="s">
        <v>371</v>
      </c>
      <c r="K624">
        <v>2</v>
      </c>
      <c r="L624" t="s">
        <v>28</v>
      </c>
      <c r="M624">
        <v>0</v>
      </c>
      <c r="N624" t="b">
        <v>1</v>
      </c>
      <c r="O624" t="b">
        <v>0</v>
      </c>
      <c r="P624">
        <v>391238</v>
      </c>
    </row>
    <row r="625" spans="1:16" x14ac:dyDescent="0.3">
      <c r="A625" t="s">
        <v>1190</v>
      </c>
      <c r="B625" t="s">
        <v>1191</v>
      </c>
      <c r="C625" t="s">
        <v>18</v>
      </c>
      <c r="D625" t="s">
        <v>19</v>
      </c>
      <c r="E625" t="s">
        <v>20</v>
      </c>
      <c r="F625">
        <v>695</v>
      </c>
      <c r="G625">
        <v>391933</v>
      </c>
      <c r="H625">
        <v>2023</v>
      </c>
      <c r="I625">
        <v>6</v>
      </c>
      <c r="J625" t="s">
        <v>371</v>
      </c>
      <c r="K625">
        <v>2</v>
      </c>
      <c r="L625" t="s">
        <v>31</v>
      </c>
      <c r="M625">
        <v>1</v>
      </c>
      <c r="N625" t="b">
        <v>1</v>
      </c>
      <c r="O625" t="b">
        <v>0</v>
      </c>
      <c r="P625">
        <v>391933</v>
      </c>
    </row>
    <row r="626" spans="1:16" x14ac:dyDescent="0.3">
      <c r="A626" t="s">
        <v>1192</v>
      </c>
      <c r="B626" t="s">
        <v>1193</v>
      </c>
      <c r="C626" t="s">
        <v>18</v>
      </c>
      <c r="D626" t="s">
        <v>19</v>
      </c>
      <c r="E626" t="s">
        <v>20</v>
      </c>
      <c r="F626">
        <v>563</v>
      </c>
      <c r="G626">
        <v>392496</v>
      </c>
      <c r="H626">
        <v>2023</v>
      </c>
      <c r="I626">
        <v>6</v>
      </c>
      <c r="J626" t="s">
        <v>371</v>
      </c>
      <c r="K626">
        <v>2</v>
      </c>
      <c r="L626" t="s">
        <v>38</v>
      </c>
      <c r="M626">
        <v>2</v>
      </c>
      <c r="N626" t="b">
        <v>1</v>
      </c>
      <c r="O626" t="b">
        <v>0</v>
      </c>
      <c r="P626">
        <v>392496</v>
      </c>
    </row>
    <row r="627" spans="1:16" x14ac:dyDescent="0.3">
      <c r="A627" t="s">
        <v>1194</v>
      </c>
      <c r="B627" t="s">
        <v>1195</v>
      </c>
      <c r="C627" t="s">
        <v>18</v>
      </c>
      <c r="D627" t="s">
        <v>19</v>
      </c>
      <c r="E627" t="s">
        <v>20</v>
      </c>
      <c r="F627">
        <v>694</v>
      </c>
      <c r="G627">
        <v>393190</v>
      </c>
      <c r="H627">
        <v>2023</v>
      </c>
      <c r="I627">
        <v>6</v>
      </c>
      <c r="J627" t="s">
        <v>371</v>
      </c>
      <c r="K627">
        <v>2</v>
      </c>
      <c r="L627" t="s">
        <v>41</v>
      </c>
      <c r="M627">
        <v>3</v>
      </c>
      <c r="N627" t="b">
        <v>1</v>
      </c>
      <c r="O627" t="b">
        <v>0</v>
      </c>
      <c r="P627">
        <v>393190</v>
      </c>
    </row>
    <row r="628" spans="1:16" x14ac:dyDescent="0.3">
      <c r="A628" t="s">
        <v>1196</v>
      </c>
      <c r="B628" t="s">
        <v>1197</v>
      </c>
      <c r="C628" t="s">
        <v>18</v>
      </c>
      <c r="D628" t="s">
        <v>19</v>
      </c>
      <c r="E628" t="s">
        <v>20</v>
      </c>
      <c r="F628">
        <v>709</v>
      </c>
      <c r="G628">
        <v>393899</v>
      </c>
      <c r="H628">
        <v>2023</v>
      </c>
      <c r="I628">
        <v>6</v>
      </c>
      <c r="J628" t="s">
        <v>371</v>
      </c>
      <c r="K628">
        <v>2</v>
      </c>
      <c r="L628" t="s">
        <v>44</v>
      </c>
      <c r="M628">
        <v>4</v>
      </c>
      <c r="N628" t="b">
        <v>1</v>
      </c>
      <c r="O628" t="b">
        <v>0</v>
      </c>
      <c r="P628">
        <v>393899</v>
      </c>
    </row>
    <row r="629" spans="1:16" x14ac:dyDescent="0.3">
      <c r="A629" t="s">
        <v>1198</v>
      </c>
      <c r="B629" t="s">
        <v>1199</v>
      </c>
      <c r="C629" t="s">
        <v>18</v>
      </c>
      <c r="D629" t="s">
        <v>19</v>
      </c>
      <c r="E629" t="s">
        <v>20</v>
      </c>
      <c r="F629">
        <v>510</v>
      </c>
      <c r="G629">
        <v>394409</v>
      </c>
      <c r="H629">
        <v>2023</v>
      </c>
      <c r="I629">
        <v>6</v>
      </c>
      <c r="J629" t="s">
        <v>371</v>
      </c>
      <c r="K629">
        <v>2</v>
      </c>
      <c r="L629" t="s">
        <v>22</v>
      </c>
      <c r="M629">
        <v>5</v>
      </c>
      <c r="N629" t="b">
        <v>1</v>
      </c>
      <c r="O629" t="b">
        <v>0</v>
      </c>
      <c r="P629">
        <v>394409</v>
      </c>
    </row>
    <row r="630" spans="1:16" x14ac:dyDescent="0.3">
      <c r="A630" t="s">
        <v>1200</v>
      </c>
      <c r="B630" t="s">
        <v>1201</v>
      </c>
      <c r="C630" t="s">
        <v>18</v>
      </c>
      <c r="D630" t="s">
        <v>19</v>
      </c>
      <c r="E630" t="s">
        <v>20</v>
      </c>
      <c r="F630">
        <v>468</v>
      </c>
      <c r="G630">
        <v>394877</v>
      </c>
      <c r="H630">
        <v>2023</v>
      </c>
      <c r="I630">
        <v>6</v>
      </c>
      <c r="J630" t="s">
        <v>371</v>
      </c>
      <c r="K630">
        <v>2</v>
      </c>
      <c r="L630" t="s">
        <v>25</v>
      </c>
      <c r="M630">
        <v>6</v>
      </c>
      <c r="N630" t="b">
        <v>1</v>
      </c>
      <c r="O630" t="b">
        <v>0</v>
      </c>
      <c r="P630">
        <v>394877</v>
      </c>
    </row>
    <row r="631" spans="1:16" x14ac:dyDescent="0.3">
      <c r="A631" t="s">
        <v>1202</v>
      </c>
      <c r="B631" t="s">
        <v>1203</v>
      </c>
      <c r="C631" t="s">
        <v>33</v>
      </c>
      <c r="D631" t="s">
        <v>34</v>
      </c>
      <c r="E631" t="s">
        <v>35</v>
      </c>
      <c r="F631">
        <v>247</v>
      </c>
      <c r="G631">
        <v>395279</v>
      </c>
      <c r="H631">
        <v>2023</v>
      </c>
      <c r="I631">
        <v>6</v>
      </c>
      <c r="J631" t="s">
        <v>371</v>
      </c>
      <c r="K631">
        <v>2</v>
      </c>
      <c r="L631" t="s">
        <v>28</v>
      </c>
      <c r="M631">
        <v>0</v>
      </c>
      <c r="N631" t="b">
        <v>0</v>
      </c>
      <c r="O631" t="b">
        <v>1</v>
      </c>
      <c r="P631">
        <v>394630</v>
      </c>
    </row>
    <row r="632" spans="1:16" x14ac:dyDescent="0.3">
      <c r="A632" t="s">
        <v>1202</v>
      </c>
      <c r="B632" t="s">
        <v>1204</v>
      </c>
      <c r="C632" t="s">
        <v>18</v>
      </c>
      <c r="D632" t="s">
        <v>19</v>
      </c>
      <c r="E632" t="s">
        <v>20</v>
      </c>
      <c r="F632">
        <v>649</v>
      </c>
      <c r="G632">
        <v>395526</v>
      </c>
      <c r="H632">
        <v>2023</v>
      </c>
      <c r="I632">
        <v>6</v>
      </c>
      <c r="J632" t="s">
        <v>371</v>
      </c>
      <c r="K632">
        <v>2</v>
      </c>
      <c r="L632" t="s">
        <v>28</v>
      </c>
      <c r="M632">
        <v>0</v>
      </c>
      <c r="N632" t="b">
        <v>1</v>
      </c>
      <c r="O632" t="b">
        <v>0</v>
      </c>
      <c r="P632">
        <v>395279</v>
      </c>
    </row>
    <row r="633" spans="1:16" x14ac:dyDescent="0.3">
      <c r="A633" t="s">
        <v>1205</v>
      </c>
      <c r="B633" t="s">
        <v>1206</v>
      </c>
      <c r="C633" t="s">
        <v>18</v>
      </c>
      <c r="D633" t="s">
        <v>19</v>
      </c>
      <c r="E633" t="s">
        <v>20</v>
      </c>
      <c r="F633">
        <v>626</v>
      </c>
      <c r="G633">
        <v>395905</v>
      </c>
      <c r="H633">
        <v>2023</v>
      </c>
      <c r="I633">
        <v>6</v>
      </c>
      <c r="J633" t="s">
        <v>371</v>
      </c>
      <c r="K633">
        <v>2</v>
      </c>
      <c r="L633" t="s">
        <v>31</v>
      </c>
      <c r="M633">
        <v>1</v>
      </c>
      <c r="N633" t="b">
        <v>1</v>
      </c>
      <c r="O633" t="b">
        <v>0</v>
      </c>
      <c r="P633">
        <v>395905</v>
      </c>
    </row>
    <row r="634" spans="1:16" x14ac:dyDescent="0.3">
      <c r="A634" t="s">
        <v>1207</v>
      </c>
      <c r="B634" t="s">
        <v>1208</v>
      </c>
      <c r="C634" t="s">
        <v>18</v>
      </c>
      <c r="D634" t="s">
        <v>19</v>
      </c>
      <c r="E634" t="s">
        <v>20</v>
      </c>
      <c r="F634">
        <v>736</v>
      </c>
      <c r="G634">
        <v>396641</v>
      </c>
      <c r="H634">
        <v>2023</v>
      </c>
      <c r="I634">
        <v>6</v>
      </c>
      <c r="J634" t="s">
        <v>371</v>
      </c>
      <c r="K634">
        <v>2</v>
      </c>
      <c r="L634" t="s">
        <v>38</v>
      </c>
      <c r="M634">
        <v>2</v>
      </c>
      <c r="N634" t="b">
        <v>1</v>
      </c>
      <c r="O634" t="b">
        <v>0</v>
      </c>
      <c r="P634">
        <v>396641</v>
      </c>
    </row>
    <row r="635" spans="1:16" x14ac:dyDescent="0.3">
      <c r="A635" t="s">
        <v>1209</v>
      </c>
      <c r="B635" t="s">
        <v>1210</v>
      </c>
      <c r="C635" t="s">
        <v>18</v>
      </c>
      <c r="D635" t="s">
        <v>19</v>
      </c>
      <c r="E635" t="s">
        <v>20</v>
      </c>
      <c r="F635">
        <v>764</v>
      </c>
      <c r="G635">
        <v>397405</v>
      </c>
      <c r="H635">
        <v>2023</v>
      </c>
      <c r="I635">
        <v>6</v>
      </c>
      <c r="J635" t="s">
        <v>371</v>
      </c>
      <c r="K635">
        <v>2</v>
      </c>
      <c r="L635" t="s">
        <v>41</v>
      </c>
      <c r="M635">
        <v>3</v>
      </c>
      <c r="N635" t="b">
        <v>1</v>
      </c>
      <c r="O635" t="b">
        <v>0</v>
      </c>
      <c r="P635">
        <v>397405</v>
      </c>
    </row>
    <row r="636" spans="1:16" x14ac:dyDescent="0.3">
      <c r="A636" t="s">
        <v>1209</v>
      </c>
      <c r="B636" t="s">
        <v>1211</v>
      </c>
      <c r="C636" t="s">
        <v>88</v>
      </c>
      <c r="D636" t="s">
        <v>56</v>
      </c>
      <c r="E636" t="s">
        <v>35</v>
      </c>
      <c r="F636">
        <v>300</v>
      </c>
      <c r="G636">
        <v>397105</v>
      </c>
      <c r="H636">
        <v>2023</v>
      </c>
      <c r="I636">
        <v>6</v>
      </c>
      <c r="J636" t="s">
        <v>371</v>
      </c>
      <c r="K636">
        <v>2</v>
      </c>
      <c r="L636" t="s">
        <v>41</v>
      </c>
      <c r="M636">
        <v>3</v>
      </c>
      <c r="N636" t="b">
        <v>0</v>
      </c>
      <c r="O636" t="b">
        <v>1</v>
      </c>
      <c r="P636">
        <v>397105</v>
      </c>
    </row>
    <row r="637" spans="1:16" x14ac:dyDescent="0.3">
      <c r="A637" t="s">
        <v>1212</v>
      </c>
      <c r="B637" t="s">
        <v>1213</v>
      </c>
      <c r="C637" t="s">
        <v>18</v>
      </c>
      <c r="D637" t="s">
        <v>19</v>
      </c>
      <c r="E637" t="s">
        <v>20</v>
      </c>
      <c r="F637">
        <v>472</v>
      </c>
      <c r="G637">
        <v>397577</v>
      </c>
      <c r="H637">
        <v>2023</v>
      </c>
      <c r="I637">
        <v>6</v>
      </c>
      <c r="J637" t="s">
        <v>371</v>
      </c>
      <c r="K637">
        <v>2</v>
      </c>
      <c r="L637" t="s">
        <v>44</v>
      </c>
      <c r="M637">
        <v>4</v>
      </c>
      <c r="N637" t="b">
        <v>1</v>
      </c>
      <c r="O637" t="b">
        <v>0</v>
      </c>
      <c r="P637">
        <v>397577</v>
      </c>
    </row>
    <row r="638" spans="1:16" x14ac:dyDescent="0.3">
      <c r="A638" t="s">
        <v>1212</v>
      </c>
      <c r="B638" t="s">
        <v>1214</v>
      </c>
      <c r="C638" t="s">
        <v>55</v>
      </c>
      <c r="D638" t="s">
        <v>56</v>
      </c>
      <c r="E638" t="s">
        <v>35</v>
      </c>
      <c r="F638">
        <v>116</v>
      </c>
      <c r="G638">
        <v>397461</v>
      </c>
      <c r="H638">
        <v>2023</v>
      </c>
      <c r="I638">
        <v>6</v>
      </c>
      <c r="J638" t="s">
        <v>371</v>
      </c>
      <c r="K638">
        <v>2</v>
      </c>
      <c r="L638" t="s">
        <v>44</v>
      </c>
      <c r="M638">
        <v>4</v>
      </c>
      <c r="N638" t="b">
        <v>0</v>
      </c>
      <c r="O638" t="b">
        <v>1</v>
      </c>
      <c r="P638">
        <v>397461</v>
      </c>
    </row>
    <row r="639" spans="1:16" x14ac:dyDescent="0.3">
      <c r="A639" t="s">
        <v>1215</v>
      </c>
      <c r="B639" t="s">
        <v>1216</v>
      </c>
      <c r="C639" t="s">
        <v>18</v>
      </c>
      <c r="D639" t="s">
        <v>19</v>
      </c>
      <c r="E639" t="s">
        <v>20</v>
      </c>
      <c r="F639">
        <v>616</v>
      </c>
      <c r="G639">
        <v>398077</v>
      </c>
      <c r="H639">
        <v>2023</v>
      </c>
      <c r="I639">
        <v>6</v>
      </c>
      <c r="J639" t="s">
        <v>371</v>
      </c>
      <c r="K639">
        <v>2</v>
      </c>
      <c r="L639" t="s">
        <v>22</v>
      </c>
      <c r="M639">
        <v>5</v>
      </c>
      <c r="N639" t="b">
        <v>1</v>
      </c>
      <c r="O639" t="b">
        <v>0</v>
      </c>
      <c r="P639">
        <v>398077</v>
      </c>
    </row>
    <row r="640" spans="1:16" x14ac:dyDescent="0.3">
      <c r="A640" t="s">
        <v>1217</v>
      </c>
      <c r="B640" t="s">
        <v>1218</v>
      </c>
      <c r="C640" t="s">
        <v>18</v>
      </c>
      <c r="D640" t="s">
        <v>19</v>
      </c>
      <c r="E640" t="s">
        <v>20</v>
      </c>
      <c r="F640">
        <v>503</v>
      </c>
      <c r="G640">
        <v>398580</v>
      </c>
      <c r="H640">
        <v>2023</v>
      </c>
      <c r="I640">
        <v>6</v>
      </c>
      <c r="J640" t="s">
        <v>371</v>
      </c>
      <c r="K640">
        <v>2</v>
      </c>
      <c r="L640" t="s">
        <v>25</v>
      </c>
      <c r="M640">
        <v>6</v>
      </c>
      <c r="N640" t="b">
        <v>1</v>
      </c>
      <c r="O640" t="b">
        <v>0</v>
      </c>
      <c r="P640">
        <v>398580</v>
      </c>
    </row>
    <row r="641" spans="1:16" x14ac:dyDescent="0.3">
      <c r="A641" t="s">
        <v>1219</v>
      </c>
      <c r="B641" t="s">
        <v>1220</v>
      </c>
      <c r="C641" t="s">
        <v>18</v>
      </c>
      <c r="D641" t="s">
        <v>19</v>
      </c>
      <c r="E641" t="s">
        <v>20</v>
      </c>
      <c r="F641">
        <v>438</v>
      </c>
      <c r="G641">
        <v>399018</v>
      </c>
      <c r="H641">
        <v>2023</v>
      </c>
      <c r="I641">
        <v>6</v>
      </c>
      <c r="J641" t="s">
        <v>371</v>
      </c>
      <c r="K641">
        <v>2</v>
      </c>
      <c r="L641" t="s">
        <v>28</v>
      </c>
      <c r="M641">
        <v>0</v>
      </c>
      <c r="N641" t="b">
        <v>1</v>
      </c>
      <c r="O641" t="b">
        <v>0</v>
      </c>
      <c r="P641">
        <v>399018</v>
      </c>
    </row>
    <row r="642" spans="1:16" x14ac:dyDescent="0.3">
      <c r="A642" t="s">
        <v>1219</v>
      </c>
      <c r="B642" t="s">
        <v>1221</v>
      </c>
      <c r="C642" t="s">
        <v>46</v>
      </c>
      <c r="D642" t="s">
        <v>34</v>
      </c>
      <c r="E642" t="s">
        <v>35</v>
      </c>
      <c r="F642">
        <v>328</v>
      </c>
      <c r="G642">
        <v>398690</v>
      </c>
      <c r="H642">
        <v>2023</v>
      </c>
      <c r="I642">
        <v>6</v>
      </c>
      <c r="J642" t="s">
        <v>371</v>
      </c>
      <c r="K642">
        <v>2</v>
      </c>
      <c r="L642" t="s">
        <v>28</v>
      </c>
      <c r="M642">
        <v>0</v>
      </c>
      <c r="N642" t="b">
        <v>0</v>
      </c>
      <c r="O642" t="b">
        <v>1</v>
      </c>
      <c r="P642">
        <v>398690</v>
      </c>
    </row>
    <row r="643" spans="1:16" x14ac:dyDescent="0.3">
      <c r="A643" t="s">
        <v>1222</v>
      </c>
      <c r="B643" t="s">
        <v>1223</v>
      </c>
      <c r="C643" t="s">
        <v>18</v>
      </c>
      <c r="D643" t="s">
        <v>19</v>
      </c>
      <c r="E643" t="s">
        <v>20</v>
      </c>
      <c r="F643">
        <v>571</v>
      </c>
      <c r="G643">
        <v>399261</v>
      </c>
      <c r="H643">
        <v>2023</v>
      </c>
      <c r="I643">
        <v>6</v>
      </c>
      <c r="J643" t="s">
        <v>371</v>
      </c>
      <c r="K643">
        <v>2</v>
      </c>
      <c r="L643" t="s">
        <v>31</v>
      </c>
      <c r="M643">
        <v>1</v>
      </c>
      <c r="N643" t="b">
        <v>1</v>
      </c>
      <c r="O643" t="b">
        <v>0</v>
      </c>
      <c r="P643">
        <v>399261</v>
      </c>
    </row>
    <row r="644" spans="1:16" x14ac:dyDescent="0.3">
      <c r="A644" t="s">
        <v>1224</v>
      </c>
      <c r="B644" t="s">
        <v>1225</v>
      </c>
      <c r="C644" t="s">
        <v>18</v>
      </c>
      <c r="D644" t="s">
        <v>19</v>
      </c>
      <c r="E644" t="s">
        <v>20</v>
      </c>
      <c r="F644">
        <v>501</v>
      </c>
      <c r="G644">
        <v>399762</v>
      </c>
      <c r="H644">
        <v>2023</v>
      </c>
      <c r="I644">
        <v>6</v>
      </c>
      <c r="J644" t="s">
        <v>371</v>
      </c>
      <c r="K644">
        <v>2</v>
      </c>
      <c r="L644" t="s">
        <v>38</v>
      </c>
      <c r="M644">
        <v>2</v>
      </c>
      <c r="N644" t="b">
        <v>1</v>
      </c>
      <c r="O644" t="b">
        <v>0</v>
      </c>
      <c r="P644">
        <v>399762</v>
      </c>
    </row>
    <row r="645" spans="1:16" x14ac:dyDescent="0.3">
      <c r="A645" t="s">
        <v>1226</v>
      </c>
      <c r="B645" t="s">
        <v>1227</v>
      </c>
      <c r="C645" t="s">
        <v>18</v>
      </c>
      <c r="D645" t="s">
        <v>19</v>
      </c>
      <c r="E645" t="s">
        <v>20</v>
      </c>
      <c r="F645">
        <v>674</v>
      </c>
      <c r="G645">
        <v>400436</v>
      </c>
      <c r="H645">
        <v>2023</v>
      </c>
      <c r="I645">
        <v>6</v>
      </c>
      <c r="J645" t="s">
        <v>371</v>
      </c>
      <c r="K645">
        <v>2</v>
      </c>
      <c r="L645" t="s">
        <v>41</v>
      </c>
      <c r="M645">
        <v>3</v>
      </c>
      <c r="N645" t="b">
        <v>1</v>
      </c>
      <c r="O645" t="b">
        <v>0</v>
      </c>
      <c r="P645">
        <v>400436</v>
      </c>
    </row>
    <row r="646" spans="1:16" x14ac:dyDescent="0.3">
      <c r="A646" t="s">
        <v>1228</v>
      </c>
      <c r="B646" t="s">
        <v>1229</v>
      </c>
      <c r="C646" t="s">
        <v>18</v>
      </c>
      <c r="D646" t="s">
        <v>19</v>
      </c>
      <c r="E646" t="s">
        <v>20</v>
      </c>
      <c r="F646">
        <v>704</v>
      </c>
      <c r="G646">
        <v>401140</v>
      </c>
      <c r="H646">
        <v>2023</v>
      </c>
      <c r="I646">
        <v>6</v>
      </c>
      <c r="J646" t="s">
        <v>371</v>
      </c>
      <c r="K646">
        <v>2</v>
      </c>
      <c r="L646" t="s">
        <v>44</v>
      </c>
      <c r="M646">
        <v>4</v>
      </c>
      <c r="N646" t="b">
        <v>1</v>
      </c>
      <c r="O646" t="b">
        <v>0</v>
      </c>
      <c r="P646">
        <v>401140</v>
      </c>
    </row>
    <row r="647" spans="1:16" x14ac:dyDescent="0.3">
      <c r="A647" t="s">
        <v>1228</v>
      </c>
      <c r="B647" t="s">
        <v>1230</v>
      </c>
      <c r="C647" t="s">
        <v>55</v>
      </c>
      <c r="D647" t="s">
        <v>56</v>
      </c>
      <c r="E647" t="s">
        <v>35</v>
      </c>
      <c r="F647">
        <v>429</v>
      </c>
      <c r="G647">
        <v>400711</v>
      </c>
      <c r="H647">
        <v>2023</v>
      </c>
      <c r="I647">
        <v>6</v>
      </c>
      <c r="J647" t="s">
        <v>371</v>
      </c>
      <c r="K647">
        <v>2</v>
      </c>
      <c r="L647" t="s">
        <v>44</v>
      </c>
      <c r="M647">
        <v>4</v>
      </c>
      <c r="N647" t="b">
        <v>0</v>
      </c>
      <c r="O647" t="b">
        <v>1</v>
      </c>
      <c r="P647">
        <v>400711</v>
      </c>
    </row>
    <row r="648" spans="1:16" x14ac:dyDescent="0.3">
      <c r="A648" t="s">
        <v>1231</v>
      </c>
      <c r="B648" t="s">
        <v>1232</v>
      </c>
      <c r="C648" t="s">
        <v>18</v>
      </c>
      <c r="D648" t="s">
        <v>19</v>
      </c>
      <c r="E648" t="s">
        <v>20</v>
      </c>
      <c r="F648">
        <v>710</v>
      </c>
      <c r="G648">
        <v>401421</v>
      </c>
      <c r="H648">
        <v>2023</v>
      </c>
      <c r="I648">
        <v>6</v>
      </c>
      <c r="J648" t="s">
        <v>371</v>
      </c>
      <c r="K648">
        <v>2</v>
      </c>
      <c r="L648" t="s">
        <v>22</v>
      </c>
      <c r="M648">
        <v>5</v>
      </c>
      <c r="N648" t="b">
        <v>1</v>
      </c>
      <c r="O648" t="b">
        <v>0</v>
      </c>
      <c r="P648">
        <v>401421</v>
      </c>
    </row>
    <row r="649" spans="1:16" x14ac:dyDescent="0.3">
      <c r="A649" t="s">
        <v>1233</v>
      </c>
      <c r="B649" t="s">
        <v>1234</v>
      </c>
      <c r="C649" t="s">
        <v>18</v>
      </c>
      <c r="D649" t="s">
        <v>19</v>
      </c>
      <c r="E649" t="s">
        <v>20</v>
      </c>
      <c r="F649">
        <v>411</v>
      </c>
      <c r="G649">
        <v>401832</v>
      </c>
      <c r="H649">
        <v>2023</v>
      </c>
      <c r="I649">
        <v>6</v>
      </c>
      <c r="J649" t="s">
        <v>371</v>
      </c>
      <c r="K649">
        <v>2</v>
      </c>
      <c r="L649" t="s">
        <v>25</v>
      </c>
      <c r="M649">
        <v>6</v>
      </c>
      <c r="N649" t="b">
        <v>1</v>
      </c>
      <c r="O649" t="b">
        <v>0</v>
      </c>
      <c r="P649">
        <v>401832</v>
      </c>
    </row>
    <row r="650" spans="1:16" x14ac:dyDescent="0.3">
      <c r="A650" t="s">
        <v>1235</v>
      </c>
      <c r="B650" t="s">
        <v>1236</v>
      </c>
      <c r="C650" t="s">
        <v>18</v>
      </c>
      <c r="D650" t="s">
        <v>19</v>
      </c>
      <c r="E650" t="s">
        <v>20</v>
      </c>
      <c r="F650">
        <v>615</v>
      </c>
      <c r="G650">
        <v>402447</v>
      </c>
      <c r="H650">
        <v>2023</v>
      </c>
      <c r="I650">
        <v>6</v>
      </c>
      <c r="J650" t="s">
        <v>371</v>
      </c>
      <c r="K650">
        <v>2</v>
      </c>
      <c r="L650" t="s">
        <v>28</v>
      </c>
      <c r="M650">
        <v>0</v>
      </c>
      <c r="N650" t="b">
        <v>1</v>
      </c>
      <c r="O650" t="b">
        <v>0</v>
      </c>
      <c r="P650">
        <v>402447</v>
      </c>
    </row>
    <row r="651" spans="1:16" x14ac:dyDescent="0.3">
      <c r="A651" t="s">
        <v>1237</v>
      </c>
      <c r="B651" t="s">
        <v>1238</v>
      </c>
      <c r="C651" t="s">
        <v>18</v>
      </c>
      <c r="D651" t="s">
        <v>19</v>
      </c>
      <c r="E651" t="s">
        <v>20</v>
      </c>
      <c r="F651">
        <v>548</v>
      </c>
      <c r="G651">
        <v>402995</v>
      </c>
      <c r="H651">
        <v>2023</v>
      </c>
      <c r="I651">
        <v>6</v>
      </c>
      <c r="J651" t="s">
        <v>371</v>
      </c>
      <c r="K651">
        <v>2</v>
      </c>
      <c r="L651" t="s">
        <v>31</v>
      </c>
      <c r="M651">
        <v>1</v>
      </c>
      <c r="N651" t="b">
        <v>1</v>
      </c>
      <c r="O651" t="b">
        <v>0</v>
      </c>
      <c r="P651">
        <v>402995</v>
      </c>
    </row>
    <row r="652" spans="1:16" x14ac:dyDescent="0.3">
      <c r="A652" t="s">
        <v>1239</v>
      </c>
      <c r="B652" t="s">
        <v>1240</v>
      </c>
      <c r="C652" t="s">
        <v>18</v>
      </c>
      <c r="D652" t="s">
        <v>19</v>
      </c>
      <c r="E652" t="s">
        <v>20</v>
      </c>
      <c r="F652">
        <v>773</v>
      </c>
      <c r="G652">
        <v>403768</v>
      </c>
      <c r="H652">
        <v>2023</v>
      </c>
      <c r="I652">
        <v>6</v>
      </c>
      <c r="J652" t="s">
        <v>371</v>
      </c>
      <c r="K652">
        <v>2</v>
      </c>
      <c r="L652" t="s">
        <v>38</v>
      </c>
      <c r="M652">
        <v>2</v>
      </c>
      <c r="N652" t="b">
        <v>1</v>
      </c>
      <c r="O652" t="b">
        <v>0</v>
      </c>
      <c r="P652">
        <v>403768</v>
      </c>
    </row>
    <row r="653" spans="1:16" x14ac:dyDescent="0.3">
      <c r="A653" t="s">
        <v>1241</v>
      </c>
      <c r="B653" t="s">
        <v>1242</v>
      </c>
      <c r="C653" t="s">
        <v>18</v>
      </c>
      <c r="D653" t="s">
        <v>19</v>
      </c>
      <c r="E653" t="s">
        <v>20</v>
      </c>
      <c r="F653">
        <v>599</v>
      </c>
      <c r="G653">
        <v>404367</v>
      </c>
      <c r="H653">
        <v>2023</v>
      </c>
      <c r="I653">
        <v>6</v>
      </c>
      <c r="J653" t="s">
        <v>371</v>
      </c>
      <c r="K653">
        <v>2</v>
      </c>
      <c r="L653" t="s">
        <v>41</v>
      </c>
      <c r="M653">
        <v>3</v>
      </c>
      <c r="N653" t="b">
        <v>1</v>
      </c>
      <c r="O653" t="b">
        <v>0</v>
      </c>
      <c r="P653">
        <v>404367</v>
      </c>
    </row>
    <row r="654" spans="1:16" x14ac:dyDescent="0.3">
      <c r="A654" t="s">
        <v>1243</v>
      </c>
      <c r="B654" t="s">
        <v>1244</v>
      </c>
      <c r="C654" t="s">
        <v>18</v>
      </c>
      <c r="D654" t="s">
        <v>19</v>
      </c>
      <c r="E654" t="s">
        <v>20</v>
      </c>
      <c r="F654">
        <v>488</v>
      </c>
      <c r="G654">
        <v>404855</v>
      </c>
      <c r="H654">
        <v>2023</v>
      </c>
      <c r="I654">
        <v>6</v>
      </c>
      <c r="J654" t="s">
        <v>371</v>
      </c>
      <c r="K654">
        <v>2</v>
      </c>
      <c r="L654" t="s">
        <v>44</v>
      </c>
      <c r="M654">
        <v>4</v>
      </c>
      <c r="N654" t="b">
        <v>1</v>
      </c>
      <c r="O654" t="b">
        <v>0</v>
      </c>
      <c r="P654">
        <v>404855</v>
      </c>
    </row>
    <row r="655" spans="1:16" x14ac:dyDescent="0.3">
      <c r="A655" t="s">
        <v>1245</v>
      </c>
      <c r="B655" t="s">
        <v>1246</v>
      </c>
      <c r="C655" t="s">
        <v>18</v>
      </c>
      <c r="D655" t="s">
        <v>19</v>
      </c>
      <c r="E655" t="s">
        <v>20</v>
      </c>
      <c r="F655">
        <v>558</v>
      </c>
      <c r="G655">
        <v>405413</v>
      </c>
      <c r="H655">
        <v>2023</v>
      </c>
      <c r="I655">
        <v>7</v>
      </c>
      <c r="J655" t="s">
        <v>441</v>
      </c>
      <c r="K655">
        <v>3</v>
      </c>
      <c r="L655" t="s">
        <v>22</v>
      </c>
      <c r="M655">
        <v>5</v>
      </c>
      <c r="N655" t="b">
        <v>1</v>
      </c>
      <c r="O655" t="b">
        <v>0</v>
      </c>
      <c r="P655">
        <v>405413</v>
      </c>
    </row>
    <row r="656" spans="1:16" x14ac:dyDescent="0.3">
      <c r="A656" t="s">
        <v>1247</v>
      </c>
      <c r="B656" t="s">
        <v>1248</v>
      </c>
      <c r="C656" t="s">
        <v>18</v>
      </c>
      <c r="D656" t="s">
        <v>19</v>
      </c>
      <c r="E656" t="s">
        <v>20</v>
      </c>
      <c r="F656">
        <v>864</v>
      </c>
      <c r="G656">
        <v>406277</v>
      </c>
      <c r="H656">
        <v>2023</v>
      </c>
      <c r="I656">
        <v>7</v>
      </c>
      <c r="J656" t="s">
        <v>441</v>
      </c>
      <c r="K656">
        <v>3</v>
      </c>
      <c r="L656" t="s">
        <v>25</v>
      </c>
      <c r="M656">
        <v>6</v>
      </c>
      <c r="N656" t="b">
        <v>1</v>
      </c>
      <c r="O656" t="b">
        <v>0</v>
      </c>
      <c r="P656">
        <v>406277</v>
      </c>
    </row>
    <row r="657" spans="1:16" x14ac:dyDescent="0.3">
      <c r="A657" t="s">
        <v>1249</v>
      </c>
      <c r="B657" t="s">
        <v>1250</v>
      </c>
      <c r="C657" t="s">
        <v>18</v>
      </c>
      <c r="D657" t="s">
        <v>19</v>
      </c>
      <c r="E657" t="s">
        <v>20</v>
      </c>
      <c r="F657">
        <v>787</v>
      </c>
      <c r="G657">
        <v>407064</v>
      </c>
      <c r="H657">
        <v>2023</v>
      </c>
      <c r="I657">
        <v>7</v>
      </c>
      <c r="J657" t="s">
        <v>441</v>
      </c>
      <c r="K657">
        <v>3</v>
      </c>
      <c r="L657" t="s">
        <v>28</v>
      </c>
      <c r="M657">
        <v>0</v>
      </c>
      <c r="N657" t="b">
        <v>1</v>
      </c>
      <c r="O657" t="b">
        <v>0</v>
      </c>
      <c r="P657">
        <v>407064</v>
      </c>
    </row>
    <row r="658" spans="1:16" x14ac:dyDescent="0.3">
      <c r="A658" t="s">
        <v>1251</v>
      </c>
      <c r="B658" t="s">
        <v>1252</v>
      </c>
      <c r="C658" t="s">
        <v>18</v>
      </c>
      <c r="D658" t="s">
        <v>19</v>
      </c>
      <c r="E658" t="s">
        <v>20</v>
      </c>
      <c r="F658">
        <v>698</v>
      </c>
      <c r="G658">
        <v>407762</v>
      </c>
      <c r="H658">
        <v>2023</v>
      </c>
      <c r="I658">
        <v>7</v>
      </c>
      <c r="J658" t="s">
        <v>441</v>
      </c>
      <c r="K658">
        <v>3</v>
      </c>
      <c r="L658" t="s">
        <v>31</v>
      </c>
      <c r="M658">
        <v>1</v>
      </c>
      <c r="N658" t="b">
        <v>1</v>
      </c>
      <c r="O658" t="b">
        <v>0</v>
      </c>
      <c r="P658">
        <v>407762</v>
      </c>
    </row>
    <row r="659" spans="1:16" x14ac:dyDescent="0.3">
      <c r="A659" t="s">
        <v>1253</v>
      </c>
      <c r="B659" t="s">
        <v>1254</v>
      </c>
      <c r="C659" t="s">
        <v>18</v>
      </c>
      <c r="D659" t="s">
        <v>19</v>
      </c>
      <c r="E659" t="s">
        <v>20</v>
      </c>
      <c r="F659">
        <v>781</v>
      </c>
      <c r="G659">
        <v>408543</v>
      </c>
      <c r="H659">
        <v>2023</v>
      </c>
      <c r="I659">
        <v>7</v>
      </c>
      <c r="J659" t="s">
        <v>441</v>
      </c>
      <c r="K659">
        <v>3</v>
      </c>
      <c r="L659" t="s">
        <v>38</v>
      </c>
      <c r="M659">
        <v>2</v>
      </c>
      <c r="N659" t="b">
        <v>1</v>
      </c>
      <c r="O659" t="b">
        <v>0</v>
      </c>
      <c r="P659">
        <v>408543</v>
      </c>
    </row>
    <row r="660" spans="1:16" x14ac:dyDescent="0.3">
      <c r="A660" t="s">
        <v>1255</v>
      </c>
      <c r="B660" t="s">
        <v>1256</v>
      </c>
      <c r="C660" t="s">
        <v>18</v>
      </c>
      <c r="D660" t="s">
        <v>19</v>
      </c>
      <c r="E660" t="s">
        <v>20</v>
      </c>
      <c r="F660">
        <v>749</v>
      </c>
      <c r="G660">
        <v>409292</v>
      </c>
      <c r="H660">
        <v>2023</v>
      </c>
      <c r="I660">
        <v>7</v>
      </c>
      <c r="J660" t="s">
        <v>441</v>
      </c>
      <c r="K660">
        <v>3</v>
      </c>
      <c r="L660" t="s">
        <v>41</v>
      </c>
      <c r="M660">
        <v>3</v>
      </c>
      <c r="N660" t="b">
        <v>1</v>
      </c>
      <c r="O660" t="b">
        <v>0</v>
      </c>
      <c r="P660">
        <v>409292</v>
      </c>
    </row>
    <row r="661" spans="1:16" x14ac:dyDescent="0.3">
      <c r="A661" t="s">
        <v>1257</v>
      </c>
      <c r="B661" t="s">
        <v>1258</v>
      </c>
      <c r="C661" t="s">
        <v>18</v>
      </c>
      <c r="D661" t="s">
        <v>19</v>
      </c>
      <c r="E661" t="s">
        <v>20</v>
      </c>
      <c r="F661">
        <v>834</v>
      </c>
      <c r="G661">
        <v>410126</v>
      </c>
      <c r="H661">
        <v>2023</v>
      </c>
      <c r="I661">
        <v>7</v>
      </c>
      <c r="J661" t="s">
        <v>441</v>
      </c>
      <c r="K661">
        <v>3</v>
      </c>
      <c r="L661" t="s">
        <v>44</v>
      </c>
      <c r="M661">
        <v>4</v>
      </c>
      <c r="N661" t="b">
        <v>1</v>
      </c>
      <c r="O661" t="b">
        <v>0</v>
      </c>
      <c r="P661">
        <v>410126</v>
      </c>
    </row>
    <row r="662" spans="1:16" x14ac:dyDescent="0.3">
      <c r="A662" t="s">
        <v>1259</v>
      </c>
      <c r="B662" t="s">
        <v>1260</v>
      </c>
      <c r="C662" t="s">
        <v>18</v>
      </c>
      <c r="D662" t="s">
        <v>19</v>
      </c>
      <c r="E662" t="s">
        <v>20</v>
      </c>
      <c r="F662">
        <v>636</v>
      </c>
      <c r="G662">
        <v>410762</v>
      </c>
      <c r="H662">
        <v>2023</v>
      </c>
      <c r="I662">
        <v>7</v>
      </c>
      <c r="J662" t="s">
        <v>441</v>
      </c>
      <c r="K662">
        <v>3</v>
      </c>
      <c r="L662" t="s">
        <v>22</v>
      </c>
      <c r="M662">
        <v>5</v>
      </c>
      <c r="N662" t="b">
        <v>1</v>
      </c>
      <c r="O662" t="b">
        <v>0</v>
      </c>
      <c r="P662">
        <v>410762</v>
      </c>
    </row>
    <row r="663" spans="1:16" x14ac:dyDescent="0.3">
      <c r="A663" t="s">
        <v>1259</v>
      </c>
      <c r="B663" t="s">
        <v>1261</v>
      </c>
      <c r="C663" t="s">
        <v>88</v>
      </c>
      <c r="D663" t="s">
        <v>56</v>
      </c>
      <c r="E663" t="s">
        <v>35</v>
      </c>
      <c r="F663">
        <v>427</v>
      </c>
      <c r="G663">
        <v>410335</v>
      </c>
      <c r="H663">
        <v>2023</v>
      </c>
      <c r="I663">
        <v>7</v>
      </c>
      <c r="J663" t="s">
        <v>441</v>
      </c>
      <c r="K663">
        <v>3</v>
      </c>
      <c r="L663" t="s">
        <v>22</v>
      </c>
      <c r="M663">
        <v>5</v>
      </c>
      <c r="N663" t="b">
        <v>0</v>
      </c>
      <c r="O663" t="b">
        <v>1</v>
      </c>
      <c r="P663">
        <v>410335</v>
      </c>
    </row>
    <row r="664" spans="1:16" x14ac:dyDescent="0.3">
      <c r="A664" t="s">
        <v>1262</v>
      </c>
      <c r="B664" t="s">
        <v>1263</v>
      </c>
      <c r="C664" t="s">
        <v>18</v>
      </c>
      <c r="D664" t="s">
        <v>19</v>
      </c>
      <c r="E664" t="s">
        <v>20</v>
      </c>
      <c r="F664">
        <v>814</v>
      </c>
      <c r="G664">
        <v>411149</v>
      </c>
      <c r="H664">
        <v>2023</v>
      </c>
      <c r="I664">
        <v>7</v>
      </c>
      <c r="J664" t="s">
        <v>441</v>
      </c>
      <c r="K664">
        <v>3</v>
      </c>
      <c r="L664" t="s">
        <v>25</v>
      </c>
      <c r="M664">
        <v>6</v>
      </c>
      <c r="N664" t="b">
        <v>1</v>
      </c>
      <c r="O664" t="b">
        <v>0</v>
      </c>
      <c r="P664">
        <v>411149</v>
      </c>
    </row>
    <row r="665" spans="1:16" x14ac:dyDescent="0.3">
      <c r="A665" t="s">
        <v>1264</v>
      </c>
      <c r="B665" t="s">
        <v>1265</v>
      </c>
      <c r="C665" t="s">
        <v>18</v>
      </c>
      <c r="D665" t="s">
        <v>19</v>
      </c>
      <c r="E665" t="s">
        <v>20</v>
      </c>
      <c r="F665">
        <v>581</v>
      </c>
      <c r="G665">
        <v>411730</v>
      </c>
      <c r="H665">
        <v>2023</v>
      </c>
      <c r="I665">
        <v>7</v>
      </c>
      <c r="J665" t="s">
        <v>441</v>
      </c>
      <c r="K665">
        <v>3</v>
      </c>
      <c r="L665" t="s">
        <v>28</v>
      </c>
      <c r="M665">
        <v>0</v>
      </c>
      <c r="N665" t="b">
        <v>1</v>
      </c>
      <c r="O665" t="b">
        <v>0</v>
      </c>
      <c r="P665">
        <v>411730</v>
      </c>
    </row>
    <row r="666" spans="1:16" x14ac:dyDescent="0.3">
      <c r="A666" t="s">
        <v>1266</v>
      </c>
      <c r="B666" t="s">
        <v>1267</v>
      </c>
      <c r="C666" t="s">
        <v>18</v>
      </c>
      <c r="D666" t="s">
        <v>19</v>
      </c>
      <c r="E666" t="s">
        <v>20</v>
      </c>
      <c r="F666">
        <v>871</v>
      </c>
      <c r="G666">
        <v>412601</v>
      </c>
      <c r="H666">
        <v>2023</v>
      </c>
      <c r="I666">
        <v>7</v>
      </c>
      <c r="J666" t="s">
        <v>441</v>
      </c>
      <c r="K666">
        <v>3</v>
      </c>
      <c r="L666" t="s">
        <v>31</v>
      </c>
      <c r="M666">
        <v>1</v>
      </c>
      <c r="N666" t="b">
        <v>1</v>
      </c>
      <c r="O666" t="b">
        <v>0</v>
      </c>
      <c r="P666">
        <v>412601</v>
      </c>
    </row>
    <row r="667" spans="1:16" x14ac:dyDescent="0.3">
      <c r="A667" t="s">
        <v>1268</v>
      </c>
      <c r="B667" t="s">
        <v>1269</v>
      </c>
      <c r="C667" t="s">
        <v>18</v>
      </c>
      <c r="D667" t="s">
        <v>19</v>
      </c>
      <c r="E667" t="s">
        <v>20</v>
      </c>
      <c r="F667">
        <v>901</v>
      </c>
      <c r="G667">
        <v>413502</v>
      </c>
      <c r="H667">
        <v>2023</v>
      </c>
      <c r="I667">
        <v>7</v>
      </c>
      <c r="J667" t="s">
        <v>441</v>
      </c>
      <c r="K667">
        <v>3</v>
      </c>
      <c r="L667" t="s">
        <v>38</v>
      </c>
      <c r="M667">
        <v>2</v>
      </c>
      <c r="N667" t="b">
        <v>1</v>
      </c>
      <c r="O667" t="b">
        <v>0</v>
      </c>
      <c r="P667">
        <v>413502</v>
      </c>
    </row>
    <row r="668" spans="1:16" x14ac:dyDescent="0.3">
      <c r="A668" t="s">
        <v>1270</v>
      </c>
      <c r="B668" t="s">
        <v>1271</v>
      </c>
      <c r="C668" t="s">
        <v>18</v>
      </c>
      <c r="D668" t="s">
        <v>19</v>
      </c>
      <c r="E668" t="s">
        <v>20</v>
      </c>
      <c r="F668">
        <v>602</v>
      </c>
      <c r="G668">
        <v>414104</v>
      </c>
      <c r="H668">
        <v>2023</v>
      </c>
      <c r="I668">
        <v>7</v>
      </c>
      <c r="J668" t="s">
        <v>441</v>
      </c>
      <c r="K668">
        <v>3</v>
      </c>
      <c r="L668" t="s">
        <v>41</v>
      </c>
      <c r="M668">
        <v>3</v>
      </c>
      <c r="N668" t="b">
        <v>1</v>
      </c>
      <c r="O668" t="b">
        <v>0</v>
      </c>
      <c r="P668">
        <v>414104</v>
      </c>
    </row>
    <row r="669" spans="1:16" x14ac:dyDescent="0.3">
      <c r="A669" t="s">
        <v>1270</v>
      </c>
      <c r="B669" t="s">
        <v>1272</v>
      </c>
      <c r="C669" t="s">
        <v>33</v>
      </c>
      <c r="D669" t="s">
        <v>34</v>
      </c>
      <c r="E669" t="s">
        <v>35</v>
      </c>
      <c r="F669">
        <v>258</v>
      </c>
      <c r="G669">
        <v>413846</v>
      </c>
      <c r="H669">
        <v>2023</v>
      </c>
      <c r="I669">
        <v>7</v>
      </c>
      <c r="J669" t="s">
        <v>441</v>
      </c>
      <c r="K669">
        <v>3</v>
      </c>
      <c r="L669" t="s">
        <v>41</v>
      </c>
      <c r="M669">
        <v>3</v>
      </c>
      <c r="N669" t="b">
        <v>0</v>
      </c>
      <c r="O669" t="b">
        <v>1</v>
      </c>
      <c r="P669">
        <v>413846</v>
      </c>
    </row>
    <row r="670" spans="1:16" x14ac:dyDescent="0.3">
      <c r="A670" t="s">
        <v>1273</v>
      </c>
      <c r="B670" t="s">
        <v>1274</v>
      </c>
      <c r="C670" t="s">
        <v>18</v>
      </c>
      <c r="D670" t="s">
        <v>19</v>
      </c>
      <c r="E670" t="s">
        <v>20</v>
      </c>
      <c r="F670">
        <v>607</v>
      </c>
      <c r="G670">
        <v>414453</v>
      </c>
      <c r="H670">
        <v>2023</v>
      </c>
      <c r="I670">
        <v>7</v>
      </c>
      <c r="J670" t="s">
        <v>441</v>
      </c>
      <c r="K670">
        <v>3</v>
      </c>
      <c r="L670" t="s">
        <v>44</v>
      </c>
      <c r="M670">
        <v>4</v>
      </c>
      <c r="N670" t="b">
        <v>1</v>
      </c>
      <c r="O670" t="b">
        <v>0</v>
      </c>
      <c r="P670">
        <v>414453</v>
      </c>
    </row>
    <row r="671" spans="1:16" x14ac:dyDescent="0.3">
      <c r="A671" t="s">
        <v>1273</v>
      </c>
      <c r="B671" t="s">
        <v>1275</v>
      </c>
      <c r="C671" t="s">
        <v>33</v>
      </c>
      <c r="D671" t="s">
        <v>34</v>
      </c>
      <c r="E671" t="s">
        <v>35</v>
      </c>
      <c r="F671">
        <v>197</v>
      </c>
      <c r="G671">
        <v>414256</v>
      </c>
      <c r="H671">
        <v>2023</v>
      </c>
      <c r="I671">
        <v>7</v>
      </c>
      <c r="J671" t="s">
        <v>441</v>
      </c>
      <c r="K671">
        <v>3</v>
      </c>
      <c r="L671" t="s">
        <v>44</v>
      </c>
      <c r="M671">
        <v>4</v>
      </c>
      <c r="N671" t="b">
        <v>0</v>
      </c>
      <c r="O671" t="b">
        <v>1</v>
      </c>
      <c r="P671">
        <v>414256</v>
      </c>
    </row>
    <row r="672" spans="1:16" x14ac:dyDescent="0.3">
      <c r="A672" t="s">
        <v>1276</v>
      </c>
      <c r="B672" t="s">
        <v>1277</v>
      </c>
      <c r="C672" t="s">
        <v>18</v>
      </c>
      <c r="D672" t="s">
        <v>19</v>
      </c>
      <c r="E672" t="s">
        <v>20</v>
      </c>
      <c r="F672">
        <v>792</v>
      </c>
      <c r="G672">
        <v>415048</v>
      </c>
      <c r="H672">
        <v>2023</v>
      </c>
      <c r="I672">
        <v>7</v>
      </c>
      <c r="J672" t="s">
        <v>441</v>
      </c>
      <c r="K672">
        <v>3</v>
      </c>
      <c r="L672" t="s">
        <v>22</v>
      </c>
      <c r="M672">
        <v>5</v>
      </c>
      <c r="N672" t="b">
        <v>1</v>
      </c>
      <c r="O672" t="b">
        <v>0</v>
      </c>
      <c r="P672">
        <v>415048</v>
      </c>
    </row>
    <row r="673" spans="1:16" x14ac:dyDescent="0.3">
      <c r="A673" t="s">
        <v>1278</v>
      </c>
      <c r="B673" t="s">
        <v>1279</v>
      </c>
      <c r="C673" t="s">
        <v>18</v>
      </c>
      <c r="D673" t="s">
        <v>19</v>
      </c>
      <c r="E673" t="s">
        <v>20</v>
      </c>
      <c r="F673">
        <v>973</v>
      </c>
      <c r="G673">
        <v>416021</v>
      </c>
      <c r="H673">
        <v>2023</v>
      </c>
      <c r="I673">
        <v>7</v>
      </c>
      <c r="J673" t="s">
        <v>441</v>
      </c>
      <c r="K673">
        <v>3</v>
      </c>
      <c r="L673" t="s">
        <v>25</v>
      </c>
      <c r="M673">
        <v>6</v>
      </c>
      <c r="N673" t="b">
        <v>1</v>
      </c>
      <c r="O673" t="b">
        <v>0</v>
      </c>
      <c r="P673">
        <v>416021</v>
      </c>
    </row>
    <row r="674" spans="1:16" x14ac:dyDescent="0.3">
      <c r="A674" t="s">
        <v>1280</v>
      </c>
      <c r="B674" t="s">
        <v>1281</v>
      </c>
      <c r="C674" t="s">
        <v>18</v>
      </c>
      <c r="D674" t="s">
        <v>19</v>
      </c>
      <c r="E674" t="s">
        <v>20</v>
      </c>
      <c r="F674">
        <v>863</v>
      </c>
      <c r="G674">
        <v>416884</v>
      </c>
      <c r="H674">
        <v>2023</v>
      </c>
      <c r="I674">
        <v>7</v>
      </c>
      <c r="J674" t="s">
        <v>441</v>
      </c>
      <c r="K674">
        <v>3</v>
      </c>
      <c r="L674" t="s">
        <v>28</v>
      </c>
      <c r="M674">
        <v>0</v>
      </c>
      <c r="N674" t="b">
        <v>1</v>
      </c>
      <c r="O674" t="b">
        <v>0</v>
      </c>
      <c r="P674">
        <v>416884</v>
      </c>
    </row>
    <row r="675" spans="1:16" x14ac:dyDescent="0.3">
      <c r="A675" t="s">
        <v>1282</v>
      </c>
      <c r="B675" t="s">
        <v>1283</v>
      </c>
      <c r="C675" t="s">
        <v>18</v>
      </c>
      <c r="D675" t="s">
        <v>19</v>
      </c>
      <c r="E675" t="s">
        <v>20</v>
      </c>
      <c r="F675">
        <v>875</v>
      </c>
      <c r="G675">
        <v>417759</v>
      </c>
      <c r="H675">
        <v>2023</v>
      </c>
      <c r="I675">
        <v>7</v>
      </c>
      <c r="J675" t="s">
        <v>441</v>
      </c>
      <c r="K675">
        <v>3</v>
      </c>
      <c r="L675" t="s">
        <v>31</v>
      </c>
      <c r="M675">
        <v>1</v>
      </c>
      <c r="N675" t="b">
        <v>1</v>
      </c>
      <c r="O675" t="b">
        <v>0</v>
      </c>
      <c r="P675">
        <v>417759</v>
      </c>
    </row>
    <row r="676" spans="1:16" x14ac:dyDescent="0.3">
      <c r="A676" t="s">
        <v>1284</v>
      </c>
      <c r="B676" t="s">
        <v>1285</v>
      </c>
      <c r="C676" t="s">
        <v>18</v>
      </c>
      <c r="D676" t="s">
        <v>19</v>
      </c>
      <c r="E676" t="s">
        <v>20</v>
      </c>
      <c r="F676">
        <v>848</v>
      </c>
      <c r="G676">
        <v>418607</v>
      </c>
      <c r="H676">
        <v>2023</v>
      </c>
      <c r="I676">
        <v>7</v>
      </c>
      <c r="J676" t="s">
        <v>441</v>
      </c>
      <c r="K676">
        <v>3</v>
      </c>
      <c r="L676" t="s">
        <v>38</v>
      </c>
      <c r="M676">
        <v>2</v>
      </c>
      <c r="N676" t="b">
        <v>1</v>
      </c>
      <c r="O676" t="b">
        <v>0</v>
      </c>
      <c r="P676">
        <v>418607</v>
      </c>
    </row>
    <row r="677" spans="1:16" x14ac:dyDescent="0.3">
      <c r="A677" t="s">
        <v>1286</v>
      </c>
      <c r="B677" t="s">
        <v>1287</v>
      </c>
      <c r="C677" t="s">
        <v>18</v>
      </c>
      <c r="D677" t="s">
        <v>19</v>
      </c>
      <c r="E677" t="s">
        <v>20</v>
      </c>
      <c r="F677">
        <v>896</v>
      </c>
      <c r="G677">
        <v>419503</v>
      </c>
      <c r="H677">
        <v>2023</v>
      </c>
      <c r="I677">
        <v>7</v>
      </c>
      <c r="J677" t="s">
        <v>441</v>
      </c>
      <c r="K677">
        <v>3</v>
      </c>
      <c r="L677" t="s">
        <v>41</v>
      </c>
      <c r="M677">
        <v>3</v>
      </c>
      <c r="N677" t="b">
        <v>1</v>
      </c>
      <c r="O677" t="b">
        <v>0</v>
      </c>
      <c r="P677">
        <v>419503</v>
      </c>
    </row>
    <row r="678" spans="1:16" x14ac:dyDescent="0.3">
      <c r="A678" t="s">
        <v>1288</v>
      </c>
      <c r="B678" t="s">
        <v>1289</v>
      </c>
      <c r="C678" t="s">
        <v>18</v>
      </c>
      <c r="D678" t="s">
        <v>19</v>
      </c>
      <c r="E678" t="s">
        <v>20</v>
      </c>
      <c r="F678">
        <v>515</v>
      </c>
      <c r="G678">
        <v>420018</v>
      </c>
      <c r="H678">
        <v>2023</v>
      </c>
      <c r="I678">
        <v>7</v>
      </c>
      <c r="J678" t="s">
        <v>441</v>
      </c>
      <c r="K678">
        <v>3</v>
      </c>
      <c r="L678" t="s">
        <v>44</v>
      </c>
      <c r="M678">
        <v>4</v>
      </c>
      <c r="N678" t="b">
        <v>1</v>
      </c>
      <c r="O678" t="b">
        <v>0</v>
      </c>
      <c r="P678">
        <v>420018</v>
      </c>
    </row>
    <row r="679" spans="1:16" x14ac:dyDescent="0.3">
      <c r="A679" t="s">
        <v>1290</v>
      </c>
      <c r="B679" t="s">
        <v>1291</v>
      </c>
      <c r="C679" t="s">
        <v>18</v>
      </c>
      <c r="D679" t="s">
        <v>19</v>
      </c>
      <c r="E679" t="s">
        <v>20</v>
      </c>
      <c r="F679">
        <v>607</v>
      </c>
      <c r="G679">
        <v>420625</v>
      </c>
      <c r="H679">
        <v>2023</v>
      </c>
      <c r="I679">
        <v>7</v>
      </c>
      <c r="J679" t="s">
        <v>441</v>
      </c>
      <c r="K679">
        <v>3</v>
      </c>
      <c r="L679" t="s">
        <v>22</v>
      </c>
      <c r="M679">
        <v>5</v>
      </c>
      <c r="N679" t="b">
        <v>1</v>
      </c>
      <c r="O679" t="b">
        <v>0</v>
      </c>
      <c r="P679">
        <v>420625</v>
      </c>
    </row>
    <row r="680" spans="1:16" x14ac:dyDescent="0.3">
      <c r="A680" t="s">
        <v>1292</v>
      </c>
      <c r="B680" t="s">
        <v>1293</v>
      </c>
      <c r="C680" t="s">
        <v>18</v>
      </c>
      <c r="D680" t="s">
        <v>19</v>
      </c>
      <c r="E680" t="s">
        <v>20</v>
      </c>
      <c r="F680">
        <v>810</v>
      </c>
      <c r="G680">
        <v>421435</v>
      </c>
      <c r="H680">
        <v>2023</v>
      </c>
      <c r="I680">
        <v>7</v>
      </c>
      <c r="J680" t="s">
        <v>441</v>
      </c>
      <c r="K680">
        <v>3</v>
      </c>
      <c r="L680" t="s">
        <v>25</v>
      </c>
      <c r="M680">
        <v>6</v>
      </c>
      <c r="N680" t="b">
        <v>1</v>
      </c>
      <c r="O680" t="b">
        <v>0</v>
      </c>
      <c r="P680">
        <v>421435</v>
      </c>
    </row>
    <row r="681" spans="1:16" x14ac:dyDescent="0.3">
      <c r="A681" t="s">
        <v>1294</v>
      </c>
      <c r="B681" t="s">
        <v>1295</v>
      </c>
      <c r="C681" t="s">
        <v>18</v>
      </c>
      <c r="D681" t="s">
        <v>19</v>
      </c>
      <c r="E681" t="s">
        <v>20</v>
      </c>
      <c r="F681">
        <v>533</v>
      </c>
      <c r="G681">
        <v>421968</v>
      </c>
      <c r="H681">
        <v>2023</v>
      </c>
      <c r="I681">
        <v>7</v>
      </c>
      <c r="J681" t="s">
        <v>441</v>
      </c>
      <c r="K681">
        <v>3</v>
      </c>
      <c r="L681" t="s">
        <v>28</v>
      </c>
      <c r="M681">
        <v>0</v>
      </c>
      <c r="N681" t="b">
        <v>1</v>
      </c>
      <c r="O681" t="b">
        <v>0</v>
      </c>
      <c r="P681">
        <v>421968</v>
      </c>
    </row>
    <row r="682" spans="1:16" x14ac:dyDescent="0.3">
      <c r="A682" t="s">
        <v>1294</v>
      </c>
      <c r="B682" t="s">
        <v>1296</v>
      </c>
      <c r="C682" t="s">
        <v>137</v>
      </c>
      <c r="D682" t="s">
        <v>34</v>
      </c>
      <c r="E682" t="s">
        <v>35</v>
      </c>
      <c r="F682">
        <v>346</v>
      </c>
      <c r="G682">
        <v>421622</v>
      </c>
      <c r="H682">
        <v>2023</v>
      </c>
      <c r="I682">
        <v>7</v>
      </c>
      <c r="J682" t="s">
        <v>441</v>
      </c>
      <c r="K682">
        <v>3</v>
      </c>
      <c r="L682" t="s">
        <v>28</v>
      </c>
      <c r="M682">
        <v>0</v>
      </c>
      <c r="N682" t="b">
        <v>0</v>
      </c>
      <c r="O682" t="b">
        <v>1</v>
      </c>
      <c r="P682">
        <v>421622</v>
      </c>
    </row>
    <row r="683" spans="1:16" x14ac:dyDescent="0.3">
      <c r="A683" t="s">
        <v>1297</v>
      </c>
      <c r="B683" t="s">
        <v>1298</v>
      </c>
      <c r="C683" t="s">
        <v>18</v>
      </c>
      <c r="D683" t="s">
        <v>19</v>
      </c>
      <c r="E683" t="s">
        <v>20</v>
      </c>
      <c r="F683">
        <v>640</v>
      </c>
      <c r="G683">
        <v>422262</v>
      </c>
      <c r="H683">
        <v>2023</v>
      </c>
      <c r="I683">
        <v>7</v>
      </c>
      <c r="J683" t="s">
        <v>441</v>
      </c>
      <c r="K683">
        <v>3</v>
      </c>
      <c r="L683" t="s">
        <v>31</v>
      </c>
      <c r="M683">
        <v>1</v>
      </c>
      <c r="N683" t="b">
        <v>1</v>
      </c>
      <c r="O683" t="b">
        <v>0</v>
      </c>
      <c r="P683">
        <v>422262</v>
      </c>
    </row>
    <row r="684" spans="1:16" x14ac:dyDescent="0.3">
      <c r="A684" t="s">
        <v>1299</v>
      </c>
      <c r="B684" t="s">
        <v>1300</v>
      </c>
      <c r="C684" t="s">
        <v>18</v>
      </c>
      <c r="D684" t="s">
        <v>19</v>
      </c>
      <c r="E684" t="s">
        <v>20</v>
      </c>
      <c r="F684">
        <v>595</v>
      </c>
      <c r="G684">
        <v>422857</v>
      </c>
      <c r="H684">
        <v>2023</v>
      </c>
      <c r="I684">
        <v>7</v>
      </c>
      <c r="J684" t="s">
        <v>441</v>
      </c>
      <c r="K684">
        <v>3</v>
      </c>
      <c r="L684" t="s">
        <v>38</v>
      </c>
      <c r="M684">
        <v>2</v>
      </c>
      <c r="N684" t="b">
        <v>1</v>
      </c>
      <c r="O684" t="b">
        <v>0</v>
      </c>
      <c r="P684">
        <v>422857</v>
      </c>
    </row>
    <row r="685" spans="1:16" x14ac:dyDescent="0.3">
      <c r="A685" t="s">
        <v>1301</v>
      </c>
      <c r="B685" t="s">
        <v>1302</v>
      </c>
      <c r="C685" t="s">
        <v>55</v>
      </c>
      <c r="D685" t="s">
        <v>56</v>
      </c>
      <c r="E685" t="s">
        <v>35</v>
      </c>
      <c r="F685">
        <v>128</v>
      </c>
      <c r="G685">
        <v>423267</v>
      </c>
      <c r="H685">
        <v>2023</v>
      </c>
      <c r="I685">
        <v>7</v>
      </c>
      <c r="J685" t="s">
        <v>441</v>
      </c>
      <c r="K685">
        <v>3</v>
      </c>
      <c r="L685" t="s">
        <v>41</v>
      </c>
      <c r="M685">
        <v>3</v>
      </c>
      <c r="N685" t="b">
        <v>0</v>
      </c>
      <c r="O685" t="b">
        <v>1</v>
      </c>
      <c r="P685">
        <v>422729</v>
      </c>
    </row>
    <row r="686" spans="1:16" x14ac:dyDescent="0.3">
      <c r="A686" t="s">
        <v>1301</v>
      </c>
      <c r="B686" t="s">
        <v>1303</v>
      </c>
      <c r="C686" t="s">
        <v>18</v>
      </c>
      <c r="D686" t="s">
        <v>19</v>
      </c>
      <c r="E686" t="s">
        <v>20</v>
      </c>
      <c r="F686">
        <v>538</v>
      </c>
      <c r="G686">
        <v>423395</v>
      </c>
      <c r="H686">
        <v>2023</v>
      </c>
      <c r="I686">
        <v>7</v>
      </c>
      <c r="J686" t="s">
        <v>441</v>
      </c>
      <c r="K686">
        <v>3</v>
      </c>
      <c r="L686" t="s">
        <v>41</v>
      </c>
      <c r="M686">
        <v>3</v>
      </c>
      <c r="N686" t="b">
        <v>1</v>
      </c>
      <c r="O686" t="b">
        <v>0</v>
      </c>
      <c r="P686">
        <v>423267</v>
      </c>
    </row>
    <row r="687" spans="1:16" x14ac:dyDescent="0.3">
      <c r="A687" t="s">
        <v>1304</v>
      </c>
      <c r="B687" t="s">
        <v>1305</v>
      </c>
      <c r="C687" t="s">
        <v>18</v>
      </c>
      <c r="D687" t="s">
        <v>19</v>
      </c>
      <c r="E687" t="s">
        <v>20</v>
      </c>
      <c r="F687">
        <v>976</v>
      </c>
      <c r="G687">
        <v>424243</v>
      </c>
      <c r="H687">
        <v>2023</v>
      </c>
      <c r="I687">
        <v>7</v>
      </c>
      <c r="J687" t="s">
        <v>441</v>
      </c>
      <c r="K687">
        <v>3</v>
      </c>
      <c r="L687" t="s">
        <v>44</v>
      </c>
      <c r="M687">
        <v>4</v>
      </c>
      <c r="N687" t="b">
        <v>1</v>
      </c>
      <c r="O687" t="b">
        <v>0</v>
      </c>
      <c r="P687">
        <v>424243</v>
      </c>
    </row>
    <row r="688" spans="1:16" x14ac:dyDescent="0.3">
      <c r="A688" t="s">
        <v>1304</v>
      </c>
      <c r="B688" t="s">
        <v>1306</v>
      </c>
      <c r="C688" t="s">
        <v>55</v>
      </c>
      <c r="D688" t="s">
        <v>56</v>
      </c>
      <c r="E688" t="s">
        <v>35</v>
      </c>
      <c r="F688">
        <v>335</v>
      </c>
      <c r="G688">
        <v>423908</v>
      </c>
      <c r="H688">
        <v>2023</v>
      </c>
      <c r="I688">
        <v>7</v>
      </c>
      <c r="J688" t="s">
        <v>441</v>
      </c>
      <c r="K688">
        <v>3</v>
      </c>
      <c r="L688" t="s">
        <v>44</v>
      </c>
      <c r="M688">
        <v>4</v>
      </c>
      <c r="N688" t="b">
        <v>0</v>
      </c>
      <c r="O688" t="b">
        <v>1</v>
      </c>
      <c r="P688">
        <v>423908</v>
      </c>
    </row>
    <row r="689" spans="1:16" x14ac:dyDescent="0.3">
      <c r="A689" t="s">
        <v>1307</v>
      </c>
      <c r="B689" t="s">
        <v>1308</v>
      </c>
      <c r="C689" t="s">
        <v>18</v>
      </c>
      <c r="D689" t="s">
        <v>19</v>
      </c>
      <c r="E689" t="s">
        <v>20</v>
      </c>
      <c r="F689">
        <v>771</v>
      </c>
      <c r="G689">
        <v>424679</v>
      </c>
      <c r="H689">
        <v>2023</v>
      </c>
      <c r="I689">
        <v>7</v>
      </c>
      <c r="J689" t="s">
        <v>441</v>
      </c>
      <c r="K689">
        <v>3</v>
      </c>
      <c r="L689" t="s">
        <v>22</v>
      </c>
      <c r="M689">
        <v>5</v>
      </c>
      <c r="N689" t="b">
        <v>1</v>
      </c>
      <c r="O689" t="b">
        <v>0</v>
      </c>
      <c r="P689">
        <v>424679</v>
      </c>
    </row>
    <row r="690" spans="1:16" x14ac:dyDescent="0.3">
      <c r="A690" t="s">
        <v>1309</v>
      </c>
      <c r="B690" t="s">
        <v>1310</v>
      </c>
      <c r="C690" t="s">
        <v>18</v>
      </c>
      <c r="D690" t="s">
        <v>19</v>
      </c>
      <c r="E690" t="s">
        <v>20</v>
      </c>
      <c r="F690">
        <v>738</v>
      </c>
      <c r="G690">
        <v>425417</v>
      </c>
      <c r="H690">
        <v>2023</v>
      </c>
      <c r="I690">
        <v>7</v>
      </c>
      <c r="J690" t="s">
        <v>441</v>
      </c>
      <c r="K690">
        <v>3</v>
      </c>
      <c r="L690" t="s">
        <v>25</v>
      </c>
      <c r="M690">
        <v>6</v>
      </c>
      <c r="N690" t="b">
        <v>1</v>
      </c>
      <c r="O690" t="b">
        <v>0</v>
      </c>
      <c r="P690">
        <v>425417</v>
      </c>
    </row>
    <row r="691" spans="1:16" x14ac:dyDescent="0.3">
      <c r="A691" t="s">
        <v>1311</v>
      </c>
      <c r="B691" t="s">
        <v>1312</v>
      </c>
      <c r="C691" t="s">
        <v>18</v>
      </c>
      <c r="D691" t="s">
        <v>19</v>
      </c>
      <c r="E691" t="s">
        <v>20</v>
      </c>
      <c r="F691">
        <v>913</v>
      </c>
      <c r="G691">
        <v>426330</v>
      </c>
      <c r="H691">
        <v>2023</v>
      </c>
      <c r="I691">
        <v>7</v>
      </c>
      <c r="J691" t="s">
        <v>441</v>
      </c>
      <c r="K691">
        <v>3</v>
      </c>
      <c r="L691" t="s">
        <v>28</v>
      </c>
      <c r="M691">
        <v>0</v>
      </c>
      <c r="N691" t="b">
        <v>1</v>
      </c>
      <c r="O691" t="b">
        <v>0</v>
      </c>
      <c r="P691">
        <v>426330</v>
      </c>
    </row>
    <row r="692" spans="1:16" x14ac:dyDescent="0.3">
      <c r="A692" t="s">
        <v>1313</v>
      </c>
      <c r="B692" t="s">
        <v>1314</v>
      </c>
      <c r="C692" t="s">
        <v>18</v>
      </c>
      <c r="D692" t="s">
        <v>19</v>
      </c>
      <c r="E692" t="s">
        <v>20</v>
      </c>
      <c r="F692">
        <v>858</v>
      </c>
      <c r="G692">
        <v>427188</v>
      </c>
      <c r="H692">
        <v>2023</v>
      </c>
      <c r="I692">
        <v>8</v>
      </c>
      <c r="J692" t="s">
        <v>509</v>
      </c>
      <c r="K692">
        <v>3</v>
      </c>
      <c r="L692" t="s">
        <v>31</v>
      </c>
      <c r="M692">
        <v>1</v>
      </c>
      <c r="N692" t="b">
        <v>1</v>
      </c>
      <c r="O692" t="b">
        <v>0</v>
      </c>
      <c r="P692">
        <v>427188</v>
      </c>
    </row>
    <row r="693" spans="1:16" x14ac:dyDescent="0.3">
      <c r="A693" t="s">
        <v>1315</v>
      </c>
      <c r="B693" t="s">
        <v>1316</v>
      </c>
      <c r="C693" t="s">
        <v>18</v>
      </c>
      <c r="D693" t="s">
        <v>19</v>
      </c>
      <c r="E693" t="s">
        <v>20</v>
      </c>
      <c r="F693">
        <v>564</v>
      </c>
      <c r="G693">
        <v>427752</v>
      </c>
      <c r="H693">
        <v>2023</v>
      </c>
      <c r="I693">
        <v>8</v>
      </c>
      <c r="J693" t="s">
        <v>509</v>
      </c>
      <c r="K693">
        <v>3</v>
      </c>
      <c r="L693" t="s">
        <v>38</v>
      </c>
      <c r="M693">
        <v>2</v>
      </c>
      <c r="N693" t="b">
        <v>1</v>
      </c>
      <c r="O693" t="b">
        <v>0</v>
      </c>
      <c r="P693">
        <v>427752</v>
      </c>
    </row>
    <row r="694" spans="1:16" x14ac:dyDescent="0.3">
      <c r="A694" t="s">
        <v>1317</v>
      </c>
      <c r="B694" t="s">
        <v>1318</v>
      </c>
      <c r="C694" t="s">
        <v>18</v>
      </c>
      <c r="D694" t="s">
        <v>19</v>
      </c>
      <c r="E694" t="s">
        <v>20</v>
      </c>
      <c r="F694">
        <v>502</v>
      </c>
      <c r="G694">
        <v>428254</v>
      </c>
      <c r="H694">
        <v>2023</v>
      </c>
      <c r="I694">
        <v>8</v>
      </c>
      <c r="J694" t="s">
        <v>509</v>
      </c>
      <c r="K694">
        <v>3</v>
      </c>
      <c r="L694" t="s">
        <v>41</v>
      </c>
      <c r="M694">
        <v>3</v>
      </c>
      <c r="N694" t="b">
        <v>1</v>
      </c>
      <c r="O694" t="b">
        <v>0</v>
      </c>
      <c r="P694">
        <v>428254</v>
      </c>
    </row>
    <row r="695" spans="1:16" x14ac:dyDescent="0.3">
      <c r="A695" t="s">
        <v>1319</v>
      </c>
      <c r="B695" t="s">
        <v>1320</v>
      </c>
      <c r="C695" t="s">
        <v>18</v>
      </c>
      <c r="D695" t="s">
        <v>19</v>
      </c>
      <c r="E695" t="s">
        <v>20</v>
      </c>
      <c r="F695">
        <v>875</v>
      </c>
      <c r="G695">
        <v>429129</v>
      </c>
      <c r="H695">
        <v>2023</v>
      </c>
      <c r="I695">
        <v>8</v>
      </c>
      <c r="J695" t="s">
        <v>509</v>
      </c>
      <c r="K695">
        <v>3</v>
      </c>
      <c r="L695" t="s">
        <v>44</v>
      </c>
      <c r="M695">
        <v>4</v>
      </c>
      <c r="N695" t="b">
        <v>1</v>
      </c>
      <c r="O695" t="b">
        <v>0</v>
      </c>
      <c r="P695">
        <v>429129</v>
      </c>
    </row>
    <row r="696" spans="1:16" x14ac:dyDescent="0.3">
      <c r="A696" t="s">
        <v>1321</v>
      </c>
      <c r="B696" t="s">
        <v>1322</v>
      </c>
      <c r="C696" t="s">
        <v>18</v>
      </c>
      <c r="D696" t="s">
        <v>19</v>
      </c>
      <c r="E696" t="s">
        <v>20</v>
      </c>
      <c r="F696">
        <v>823</v>
      </c>
      <c r="G696">
        <v>429952</v>
      </c>
      <c r="H696">
        <v>2023</v>
      </c>
      <c r="I696">
        <v>8</v>
      </c>
      <c r="J696" t="s">
        <v>509</v>
      </c>
      <c r="K696">
        <v>3</v>
      </c>
      <c r="L696" t="s">
        <v>22</v>
      </c>
      <c r="M696">
        <v>5</v>
      </c>
      <c r="N696" t="b">
        <v>1</v>
      </c>
      <c r="O696" t="b">
        <v>0</v>
      </c>
      <c r="P696">
        <v>429952</v>
      </c>
    </row>
    <row r="697" spans="1:16" x14ac:dyDescent="0.3">
      <c r="A697" t="s">
        <v>1323</v>
      </c>
      <c r="B697" t="s">
        <v>1324</v>
      </c>
      <c r="C697" t="s">
        <v>18</v>
      </c>
      <c r="D697" t="s">
        <v>19</v>
      </c>
      <c r="E697" t="s">
        <v>20</v>
      </c>
      <c r="F697">
        <v>792</v>
      </c>
      <c r="G697">
        <v>430744</v>
      </c>
      <c r="H697">
        <v>2023</v>
      </c>
      <c r="I697">
        <v>8</v>
      </c>
      <c r="J697" t="s">
        <v>509</v>
      </c>
      <c r="K697">
        <v>3</v>
      </c>
      <c r="L697" t="s">
        <v>25</v>
      </c>
      <c r="M697">
        <v>6</v>
      </c>
      <c r="N697" t="b">
        <v>1</v>
      </c>
      <c r="O697" t="b">
        <v>0</v>
      </c>
      <c r="P697">
        <v>430744</v>
      </c>
    </row>
    <row r="698" spans="1:16" x14ac:dyDescent="0.3">
      <c r="A698" t="s">
        <v>1323</v>
      </c>
      <c r="B698" t="s">
        <v>1325</v>
      </c>
      <c r="C698" t="s">
        <v>137</v>
      </c>
      <c r="D698" t="s">
        <v>34</v>
      </c>
      <c r="E698" t="s">
        <v>35</v>
      </c>
      <c r="F698">
        <v>292</v>
      </c>
      <c r="G698">
        <v>430452</v>
      </c>
      <c r="H698">
        <v>2023</v>
      </c>
      <c r="I698">
        <v>8</v>
      </c>
      <c r="J698" t="s">
        <v>509</v>
      </c>
      <c r="K698">
        <v>3</v>
      </c>
      <c r="L698" t="s">
        <v>25</v>
      </c>
      <c r="M698">
        <v>6</v>
      </c>
      <c r="N698" t="b">
        <v>0</v>
      </c>
      <c r="O698" t="b">
        <v>1</v>
      </c>
      <c r="P698">
        <v>430452</v>
      </c>
    </row>
    <row r="699" spans="1:16" x14ac:dyDescent="0.3">
      <c r="A699" t="s">
        <v>1326</v>
      </c>
      <c r="B699" t="s">
        <v>1327</v>
      </c>
      <c r="C699" t="s">
        <v>55</v>
      </c>
      <c r="D699" t="s">
        <v>56</v>
      </c>
      <c r="E699" t="s">
        <v>35</v>
      </c>
      <c r="F699">
        <v>498</v>
      </c>
      <c r="G699">
        <v>430947</v>
      </c>
      <c r="H699">
        <v>2023</v>
      </c>
      <c r="I699">
        <v>8</v>
      </c>
      <c r="J699" t="s">
        <v>509</v>
      </c>
      <c r="K699">
        <v>3</v>
      </c>
      <c r="L699" t="s">
        <v>28</v>
      </c>
      <c r="M699">
        <v>0</v>
      </c>
      <c r="N699" t="b">
        <v>0</v>
      </c>
      <c r="O699" t="b">
        <v>1</v>
      </c>
      <c r="P699">
        <v>429954</v>
      </c>
    </row>
    <row r="700" spans="1:16" x14ac:dyDescent="0.3">
      <c r="A700" t="s">
        <v>1326</v>
      </c>
      <c r="B700" t="s">
        <v>1328</v>
      </c>
      <c r="C700" t="s">
        <v>18</v>
      </c>
      <c r="D700" t="s">
        <v>19</v>
      </c>
      <c r="E700" t="s">
        <v>20</v>
      </c>
      <c r="F700">
        <v>993</v>
      </c>
      <c r="G700">
        <v>431445</v>
      </c>
      <c r="H700">
        <v>2023</v>
      </c>
      <c r="I700">
        <v>8</v>
      </c>
      <c r="J700" t="s">
        <v>509</v>
      </c>
      <c r="K700">
        <v>3</v>
      </c>
      <c r="L700" t="s">
        <v>28</v>
      </c>
      <c r="M700">
        <v>0</v>
      </c>
      <c r="N700" t="b">
        <v>1</v>
      </c>
      <c r="O700" t="b">
        <v>0</v>
      </c>
      <c r="P700">
        <v>430947</v>
      </c>
    </row>
    <row r="701" spans="1:16" x14ac:dyDescent="0.3">
      <c r="A701" t="s">
        <v>1329</v>
      </c>
      <c r="B701" t="s">
        <v>1330</v>
      </c>
      <c r="C701" t="s">
        <v>18</v>
      </c>
      <c r="D701" t="s">
        <v>19</v>
      </c>
      <c r="E701" t="s">
        <v>20</v>
      </c>
      <c r="F701">
        <v>876</v>
      </c>
      <c r="G701">
        <v>431823</v>
      </c>
      <c r="H701">
        <v>2023</v>
      </c>
      <c r="I701">
        <v>8</v>
      </c>
      <c r="J701" t="s">
        <v>509</v>
      </c>
      <c r="K701">
        <v>3</v>
      </c>
      <c r="L701" t="s">
        <v>31</v>
      </c>
      <c r="M701">
        <v>1</v>
      </c>
      <c r="N701" t="b">
        <v>1</v>
      </c>
      <c r="O701" t="b">
        <v>0</v>
      </c>
      <c r="P701">
        <v>431823</v>
      </c>
    </row>
    <row r="702" spans="1:16" x14ac:dyDescent="0.3">
      <c r="A702" t="s">
        <v>1331</v>
      </c>
      <c r="B702" t="s">
        <v>1332</v>
      </c>
      <c r="C702" t="s">
        <v>18</v>
      </c>
      <c r="D702" t="s">
        <v>19</v>
      </c>
      <c r="E702" t="s">
        <v>20</v>
      </c>
      <c r="F702">
        <v>639</v>
      </c>
      <c r="G702">
        <v>432462</v>
      </c>
      <c r="H702">
        <v>2023</v>
      </c>
      <c r="I702">
        <v>8</v>
      </c>
      <c r="J702" t="s">
        <v>509</v>
      </c>
      <c r="K702">
        <v>3</v>
      </c>
      <c r="L702" t="s">
        <v>38</v>
      </c>
      <c r="M702">
        <v>2</v>
      </c>
      <c r="N702" t="b">
        <v>1</v>
      </c>
      <c r="O702" t="b">
        <v>0</v>
      </c>
      <c r="P702">
        <v>432462</v>
      </c>
    </row>
    <row r="703" spans="1:16" x14ac:dyDescent="0.3">
      <c r="A703" t="s">
        <v>1333</v>
      </c>
      <c r="B703" t="s">
        <v>1334</v>
      </c>
      <c r="C703" t="s">
        <v>18</v>
      </c>
      <c r="D703" t="s">
        <v>19</v>
      </c>
      <c r="E703" t="s">
        <v>20</v>
      </c>
      <c r="F703">
        <v>792</v>
      </c>
      <c r="G703">
        <v>433254</v>
      </c>
      <c r="H703">
        <v>2023</v>
      </c>
      <c r="I703">
        <v>8</v>
      </c>
      <c r="J703" t="s">
        <v>509</v>
      </c>
      <c r="K703">
        <v>3</v>
      </c>
      <c r="L703" t="s">
        <v>41</v>
      </c>
      <c r="M703">
        <v>3</v>
      </c>
      <c r="N703" t="b">
        <v>1</v>
      </c>
      <c r="O703" t="b">
        <v>0</v>
      </c>
      <c r="P703">
        <v>433254</v>
      </c>
    </row>
    <row r="704" spans="1:16" x14ac:dyDescent="0.3">
      <c r="A704" t="s">
        <v>1335</v>
      </c>
      <c r="B704" t="s">
        <v>1336</v>
      </c>
      <c r="C704" t="s">
        <v>18</v>
      </c>
      <c r="D704" t="s">
        <v>19</v>
      </c>
      <c r="E704" t="s">
        <v>20</v>
      </c>
      <c r="F704">
        <v>926</v>
      </c>
      <c r="G704">
        <v>434180</v>
      </c>
      <c r="H704">
        <v>2023</v>
      </c>
      <c r="I704">
        <v>8</v>
      </c>
      <c r="J704" t="s">
        <v>509</v>
      </c>
      <c r="K704">
        <v>3</v>
      </c>
      <c r="L704" t="s">
        <v>44</v>
      </c>
      <c r="M704">
        <v>4</v>
      </c>
      <c r="N704" t="b">
        <v>1</v>
      </c>
      <c r="O704" t="b">
        <v>0</v>
      </c>
      <c r="P704">
        <v>434180</v>
      </c>
    </row>
    <row r="705" spans="1:16" x14ac:dyDescent="0.3">
      <c r="A705" t="s">
        <v>1337</v>
      </c>
      <c r="B705" t="s">
        <v>1338</v>
      </c>
      <c r="C705" t="s">
        <v>18</v>
      </c>
      <c r="D705" t="s">
        <v>19</v>
      </c>
      <c r="E705" t="s">
        <v>20</v>
      </c>
      <c r="F705">
        <v>794</v>
      </c>
      <c r="G705">
        <v>434974</v>
      </c>
      <c r="H705">
        <v>2023</v>
      </c>
      <c r="I705">
        <v>8</v>
      </c>
      <c r="J705" t="s">
        <v>509</v>
      </c>
      <c r="K705">
        <v>3</v>
      </c>
      <c r="L705" t="s">
        <v>22</v>
      </c>
      <c r="M705">
        <v>5</v>
      </c>
      <c r="N705" t="b">
        <v>1</v>
      </c>
      <c r="O705" t="b">
        <v>0</v>
      </c>
      <c r="P705">
        <v>434974</v>
      </c>
    </row>
    <row r="706" spans="1:16" x14ac:dyDescent="0.3">
      <c r="A706" t="s">
        <v>1339</v>
      </c>
      <c r="B706" t="s">
        <v>1340</v>
      </c>
      <c r="C706" t="s">
        <v>18</v>
      </c>
      <c r="D706" t="s">
        <v>19</v>
      </c>
      <c r="E706" t="s">
        <v>20</v>
      </c>
      <c r="F706">
        <v>801</v>
      </c>
      <c r="G706">
        <v>435775</v>
      </c>
      <c r="H706">
        <v>2023</v>
      </c>
      <c r="I706">
        <v>8</v>
      </c>
      <c r="J706" t="s">
        <v>509</v>
      </c>
      <c r="K706">
        <v>3</v>
      </c>
      <c r="L706" t="s">
        <v>25</v>
      </c>
      <c r="M706">
        <v>6</v>
      </c>
      <c r="N706" t="b">
        <v>1</v>
      </c>
      <c r="O706" t="b">
        <v>0</v>
      </c>
      <c r="P706">
        <v>435775</v>
      </c>
    </row>
    <row r="707" spans="1:16" x14ac:dyDescent="0.3">
      <c r="A707" t="s">
        <v>1341</v>
      </c>
      <c r="B707" t="s">
        <v>1342</v>
      </c>
      <c r="C707" t="s">
        <v>18</v>
      </c>
      <c r="D707" t="s">
        <v>19</v>
      </c>
      <c r="E707" t="s">
        <v>20</v>
      </c>
      <c r="F707">
        <v>561</v>
      </c>
      <c r="G707">
        <v>436336</v>
      </c>
      <c r="H707">
        <v>2023</v>
      </c>
      <c r="I707">
        <v>8</v>
      </c>
      <c r="J707" t="s">
        <v>509</v>
      </c>
      <c r="K707">
        <v>3</v>
      </c>
      <c r="L707" t="s">
        <v>28</v>
      </c>
      <c r="M707">
        <v>0</v>
      </c>
      <c r="N707" t="b">
        <v>1</v>
      </c>
      <c r="O707" t="b">
        <v>0</v>
      </c>
      <c r="P707">
        <v>436336</v>
      </c>
    </row>
    <row r="708" spans="1:16" x14ac:dyDescent="0.3">
      <c r="A708" t="s">
        <v>1343</v>
      </c>
      <c r="B708" t="s">
        <v>1344</v>
      </c>
      <c r="C708" t="s">
        <v>18</v>
      </c>
      <c r="D708" t="s">
        <v>19</v>
      </c>
      <c r="E708" t="s">
        <v>20</v>
      </c>
      <c r="F708">
        <v>652</v>
      </c>
      <c r="G708">
        <v>436988</v>
      </c>
      <c r="H708">
        <v>2023</v>
      </c>
      <c r="I708">
        <v>8</v>
      </c>
      <c r="J708" t="s">
        <v>509</v>
      </c>
      <c r="K708">
        <v>3</v>
      </c>
      <c r="L708" t="s">
        <v>31</v>
      </c>
      <c r="M708">
        <v>1</v>
      </c>
      <c r="N708" t="b">
        <v>1</v>
      </c>
      <c r="O708" t="b">
        <v>0</v>
      </c>
      <c r="P708">
        <v>436988</v>
      </c>
    </row>
    <row r="709" spans="1:16" x14ac:dyDescent="0.3">
      <c r="A709" t="s">
        <v>1345</v>
      </c>
      <c r="B709" t="s">
        <v>1346</v>
      </c>
      <c r="C709" t="s">
        <v>18</v>
      </c>
      <c r="D709" t="s">
        <v>19</v>
      </c>
      <c r="E709" t="s">
        <v>20</v>
      </c>
      <c r="F709">
        <v>759</v>
      </c>
      <c r="G709">
        <v>437747</v>
      </c>
      <c r="H709">
        <v>2023</v>
      </c>
      <c r="I709">
        <v>8</v>
      </c>
      <c r="J709" t="s">
        <v>509</v>
      </c>
      <c r="K709">
        <v>3</v>
      </c>
      <c r="L709" t="s">
        <v>38</v>
      </c>
      <c r="M709">
        <v>2</v>
      </c>
      <c r="N709" t="b">
        <v>1</v>
      </c>
      <c r="O709" t="b">
        <v>0</v>
      </c>
      <c r="P709">
        <v>437747</v>
      </c>
    </row>
    <row r="710" spans="1:16" x14ac:dyDescent="0.3">
      <c r="A710" t="s">
        <v>1347</v>
      </c>
      <c r="B710" t="s">
        <v>1348</v>
      </c>
      <c r="C710" t="s">
        <v>18</v>
      </c>
      <c r="D710" t="s">
        <v>19</v>
      </c>
      <c r="E710" t="s">
        <v>20</v>
      </c>
      <c r="F710">
        <v>647</v>
      </c>
      <c r="G710">
        <v>438394</v>
      </c>
      <c r="H710">
        <v>2023</v>
      </c>
      <c r="I710">
        <v>8</v>
      </c>
      <c r="J710" t="s">
        <v>509</v>
      </c>
      <c r="K710">
        <v>3</v>
      </c>
      <c r="L710" t="s">
        <v>41</v>
      </c>
      <c r="M710">
        <v>3</v>
      </c>
      <c r="N710" t="b">
        <v>1</v>
      </c>
      <c r="O710" t="b">
        <v>0</v>
      </c>
      <c r="P710">
        <v>438394</v>
      </c>
    </row>
    <row r="711" spans="1:16" x14ac:dyDescent="0.3">
      <c r="A711" t="s">
        <v>1349</v>
      </c>
      <c r="B711" t="s">
        <v>1350</v>
      </c>
      <c r="C711" t="s">
        <v>18</v>
      </c>
      <c r="D711" t="s">
        <v>19</v>
      </c>
      <c r="E711" t="s">
        <v>20</v>
      </c>
      <c r="F711">
        <v>809</v>
      </c>
      <c r="G711">
        <v>439203</v>
      </c>
      <c r="H711">
        <v>2023</v>
      </c>
      <c r="I711">
        <v>8</v>
      </c>
      <c r="J711" t="s">
        <v>509</v>
      </c>
      <c r="K711">
        <v>3</v>
      </c>
      <c r="L711" t="s">
        <v>44</v>
      </c>
      <c r="M711">
        <v>4</v>
      </c>
      <c r="N711" t="b">
        <v>1</v>
      </c>
      <c r="O711" t="b">
        <v>0</v>
      </c>
      <c r="P711">
        <v>439203</v>
      </c>
    </row>
    <row r="712" spans="1:16" x14ac:dyDescent="0.3">
      <c r="A712" t="s">
        <v>1351</v>
      </c>
      <c r="B712" t="s">
        <v>1352</v>
      </c>
      <c r="C712" t="s">
        <v>88</v>
      </c>
      <c r="D712" t="s">
        <v>56</v>
      </c>
      <c r="E712" t="s">
        <v>35</v>
      </c>
      <c r="F712">
        <v>206</v>
      </c>
      <c r="G712">
        <v>439989</v>
      </c>
      <c r="H712">
        <v>2023</v>
      </c>
      <c r="I712">
        <v>8</v>
      </c>
      <c r="J712" t="s">
        <v>509</v>
      </c>
      <c r="K712">
        <v>3</v>
      </c>
      <c r="L712" t="s">
        <v>22</v>
      </c>
      <c r="M712">
        <v>5</v>
      </c>
      <c r="N712" t="b">
        <v>0</v>
      </c>
      <c r="O712" t="b">
        <v>1</v>
      </c>
      <c r="P712">
        <v>438997</v>
      </c>
    </row>
    <row r="713" spans="1:16" x14ac:dyDescent="0.3">
      <c r="A713" t="s">
        <v>1351</v>
      </c>
      <c r="B713" t="s">
        <v>1353</v>
      </c>
      <c r="C713" t="s">
        <v>18</v>
      </c>
      <c r="D713" t="s">
        <v>19</v>
      </c>
      <c r="E713" t="s">
        <v>20</v>
      </c>
      <c r="F713">
        <v>992</v>
      </c>
      <c r="G713">
        <v>440195</v>
      </c>
      <c r="H713">
        <v>2023</v>
      </c>
      <c r="I713">
        <v>8</v>
      </c>
      <c r="J713" t="s">
        <v>509</v>
      </c>
      <c r="K713">
        <v>3</v>
      </c>
      <c r="L713" t="s">
        <v>22</v>
      </c>
      <c r="M713">
        <v>5</v>
      </c>
      <c r="N713" t="b">
        <v>1</v>
      </c>
      <c r="O713" t="b">
        <v>0</v>
      </c>
      <c r="P713">
        <v>439989</v>
      </c>
    </row>
    <row r="714" spans="1:16" x14ac:dyDescent="0.3">
      <c r="A714" t="s">
        <v>1354</v>
      </c>
      <c r="B714" t="s">
        <v>1355</v>
      </c>
      <c r="C714" t="s">
        <v>18</v>
      </c>
      <c r="D714" t="s">
        <v>19</v>
      </c>
      <c r="E714" t="s">
        <v>20</v>
      </c>
      <c r="F714">
        <v>812</v>
      </c>
      <c r="G714">
        <v>440801</v>
      </c>
      <c r="H714">
        <v>2023</v>
      </c>
      <c r="I714">
        <v>8</v>
      </c>
      <c r="J714" t="s">
        <v>509</v>
      </c>
      <c r="K714">
        <v>3</v>
      </c>
      <c r="L714" t="s">
        <v>25</v>
      </c>
      <c r="M714">
        <v>6</v>
      </c>
      <c r="N714" t="b">
        <v>1</v>
      </c>
      <c r="O714" t="b">
        <v>0</v>
      </c>
      <c r="P714">
        <v>440801</v>
      </c>
    </row>
    <row r="715" spans="1:16" x14ac:dyDescent="0.3">
      <c r="A715" t="s">
        <v>1356</v>
      </c>
      <c r="B715" t="s">
        <v>1357</v>
      </c>
      <c r="C715" t="s">
        <v>18</v>
      </c>
      <c r="D715" t="s">
        <v>19</v>
      </c>
      <c r="E715" t="s">
        <v>20</v>
      </c>
      <c r="F715">
        <v>740</v>
      </c>
      <c r="G715">
        <v>441541</v>
      </c>
      <c r="H715">
        <v>2023</v>
      </c>
      <c r="I715">
        <v>8</v>
      </c>
      <c r="J715" t="s">
        <v>509</v>
      </c>
      <c r="K715">
        <v>3</v>
      </c>
      <c r="L715" t="s">
        <v>28</v>
      </c>
      <c r="M715">
        <v>0</v>
      </c>
      <c r="N715" t="b">
        <v>1</v>
      </c>
      <c r="O715" t="b">
        <v>0</v>
      </c>
      <c r="P715">
        <v>441541</v>
      </c>
    </row>
    <row r="716" spans="1:16" x14ac:dyDescent="0.3">
      <c r="A716" t="s">
        <v>1358</v>
      </c>
      <c r="B716" t="s">
        <v>1359</v>
      </c>
      <c r="C716" t="s">
        <v>18</v>
      </c>
      <c r="D716" t="s">
        <v>19</v>
      </c>
      <c r="E716" t="s">
        <v>20</v>
      </c>
      <c r="F716">
        <v>875</v>
      </c>
      <c r="G716">
        <v>442416</v>
      </c>
      <c r="H716">
        <v>2023</v>
      </c>
      <c r="I716">
        <v>8</v>
      </c>
      <c r="J716" t="s">
        <v>509</v>
      </c>
      <c r="K716">
        <v>3</v>
      </c>
      <c r="L716" t="s">
        <v>31</v>
      </c>
      <c r="M716">
        <v>1</v>
      </c>
      <c r="N716" t="b">
        <v>1</v>
      </c>
      <c r="O716" t="b">
        <v>0</v>
      </c>
      <c r="P716">
        <v>442416</v>
      </c>
    </row>
    <row r="717" spans="1:16" x14ac:dyDescent="0.3">
      <c r="A717" t="s">
        <v>1360</v>
      </c>
      <c r="B717" t="s">
        <v>1361</v>
      </c>
      <c r="C717" t="s">
        <v>18</v>
      </c>
      <c r="D717" t="s">
        <v>19</v>
      </c>
      <c r="E717" t="s">
        <v>20</v>
      </c>
      <c r="F717">
        <v>760</v>
      </c>
      <c r="G717">
        <v>443176</v>
      </c>
      <c r="H717">
        <v>2023</v>
      </c>
      <c r="I717">
        <v>8</v>
      </c>
      <c r="J717" t="s">
        <v>509</v>
      </c>
      <c r="K717">
        <v>3</v>
      </c>
      <c r="L717" t="s">
        <v>38</v>
      </c>
      <c r="M717">
        <v>2</v>
      </c>
      <c r="N717" t="b">
        <v>1</v>
      </c>
      <c r="O717" t="b">
        <v>0</v>
      </c>
      <c r="P717">
        <v>443176</v>
      </c>
    </row>
    <row r="718" spans="1:16" x14ac:dyDescent="0.3">
      <c r="A718" t="s">
        <v>1362</v>
      </c>
      <c r="B718" t="s">
        <v>1363</v>
      </c>
      <c r="C718" t="s">
        <v>18</v>
      </c>
      <c r="D718" t="s">
        <v>19</v>
      </c>
      <c r="E718" t="s">
        <v>20</v>
      </c>
      <c r="F718">
        <v>714</v>
      </c>
      <c r="G718">
        <v>443890</v>
      </c>
      <c r="H718">
        <v>2023</v>
      </c>
      <c r="I718">
        <v>8</v>
      </c>
      <c r="J718" t="s">
        <v>509</v>
      </c>
      <c r="K718">
        <v>3</v>
      </c>
      <c r="L718" t="s">
        <v>41</v>
      </c>
      <c r="M718">
        <v>3</v>
      </c>
      <c r="N718" t="b">
        <v>1</v>
      </c>
      <c r="O718" t="b">
        <v>0</v>
      </c>
      <c r="P718">
        <v>443890</v>
      </c>
    </row>
    <row r="719" spans="1:16" x14ac:dyDescent="0.3">
      <c r="A719" t="s">
        <v>1364</v>
      </c>
      <c r="B719" t="s">
        <v>1365</v>
      </c>
      <c r="C719" t="s">
        <v>18</v>
      </c>
      <c r="D719" t="s">
        <v>19</v>
      </c>
      <c r="E719" t="s">
        <v>20</v>
      </c>
      <c r="F719">
        <v>598</v>
      </c>
      <c r="G719">
        <v>444488</v>
      </c>
      <c r="H719">
        <v>2023</v>
      </c>
      <c r="I719">
        <v>8</v>
      </c>
      <c r="J719" t="s">
        <v>509</v>
      </c>
      <c r="K719">
        <v>3</v>
      </c>
      <c r="L719" t="s">
        <v>44</v>
      </c>
      <c r="M719">
        <v>4</v>
      </c>
      <c r="N719" t="b">
        <v>1</v>
      </c>
      <c r="O719" t="b">
        <v>0</v>
      </c>
      <c r="P719">
        <v>444488</v>
      </c>
    </row>
    <row r="720" spans="1:16" x14ac:dyDescent="0.3">
      <c r="A720" t="s">
        <v>1366</v>
      </c>
      <c r="B720" t="s">
        <v>1367</v>
      </c>
      <c r="C720" t="s">
        <v>18</v>
      </c>
      <c r="D720" t="s">
        <v>19</v>
      </c>
      <c r="E720" t="s">
        <v>20</v>
      </c>
      <c r="F720">
        <v>740</v>
      </c>
      <c r="G720">
        <v>445228</v>
      </c>
      <c r="H720">
        <v>2023</v>
      </c>
      <c r="I720">
        <v>8</v>
      </c>
      <c r="J720" t="s">
        <v>509</v>
      </c>
      <c r="K720">
        <v>3</v>
      </c>
      <c r="L720" t="s">
        <v>22</v>
      </c>
      <c r="M720">
        <v>5</v>
      </c>
      <c r="N720" t="b">
        <v>1</v>
      </c>
      <c r="O720" t="b">
        <v>0</v>
      </c>
      <c r="P720">
        <v>445228</v>
      </c>
    </row>
    <row r="721" spans="1:16" x14ac:dyDescent="0.3">
      <c r="A721" t="s">
        <v>1366</v>
      </c>
      <c r="B721" t="s">
        <v>1368</v>
      </c>
      <c r="C721" t="s">
        <v>88</v>
      </c>
      <c r="D721" t="s">
        <v>56</v>
      </c>
      <c r="E721" t="s">
        <v>35</v>
      </c>
      <c r="F721">
        <v>277</v>
      </c>
      <c r="G721">
        <v>444951</v>
      </c>
      <c r="H721">
        <v>2023</v>
      </c>
      <c r="I721">
        <v>8</v>
      </c>
      <c r="J721" t="s">
        <v>509</v>
      </c>
      <c r="K721">
        <v>3</v>
      </c>
      <c r="L721" t="s">
        <v>22</v>
      </c>
      <c r="M721">
        <v>5</v>
      </c>
      <c r="N721" t="b">
        <v>0</v>
      </c>
      <c r="O721" t="b">
        <v>1</v>
      </c>
      <c r="P721">
        <v>444951</v>
      </c>
    </row>
    <row r="722" spans="1:16" x14ac:dyDescent="0.3">
      <c r="A722" t="s">
        <v>1369</v>
      </c>
      <c r="B722" t="s">
        <v>1370</v>
      </c>
      <c r="C722" t="s">
        <v>18</v>
      </c>
      <c r="D722" t="s">
        <v>19</v>
      </c>
      <c r="E722" t="s">
        <v>20</v>
      </c>
      <c r="F722">
        <v>561</v>
      </c>
      <c r="G722">
        <v>445512</v>
      </c>
      <c r="H722">
        <v>2023</v>
      </c>
      <c r="I722">
        <v>8</v>
      </c>
      <c r="J722" t="s">
        <v>509</v>
      </c>
      <c r="K722">
        <v>3</v>
      </c>
      <c r="L722" t="s">
        <v>25</v>
      </c>
      <c r="M722">
        <v>6</v>
      </c>
      <c r="N722" t="b">
        <v>1</v>
      </c>
      <c r="O722" t="b">
        <v>0</v>
      </c>
      <c r="P722">
        <v>445512</v>
      </c>
    </row>
    <row r="723" spans="1:16" x14ac:dyDescent="0.3">
      <c r="A723" t="s">
        <v>1371</v>
      </c>
      <c r="B723" t="s">
        <v>1372</v>
      </c>
      <c r="C723" t="s">
        <v>18</v>
      </c>
      <c r="D723" t="s">
        <v>19</v>
      </c>
      <c r="E723" t="s">
        <v>20</v>
      </c>
      <c r="F723">
        <v>502</v>
      </c>
      <c r="G723">
        <v>446014</v>
      </c>
      <c r="H723">
        <v>2023</v>
      </c>
      <c r="I723">
        <v>8</v>
      </c>
      <c r="J723" t="s">
        <v>509</v>
      </c>
      <c r="K723">
        <v>3</v>
      </c>
      <c r="L723" t="s">
        <v>28</v>
      </c>
      <c r="M723">
        <v>0</v>
      </c>
      <c r="N723" t="b">
        <v>1</v>
      </c>
      <c r="O723" t="b">
        <v>0</v>
      </c>
      <c r="P723">
        <v>446014</v>
      </c>
    </row>
    <row r="724" spans="1:16" x14ac:dyDescent="0.3">
      <c r="A724" t="s">
        <v>1373</v>
      </c>
      <c r="B724" t="s">
        <v>1374</v>
      </c>
      <c r="C724" t="s">
        <v>18</v>
      </c>
      <c r="D724" t="s">
        <v>19</v>
      </c>
      <c r="E724" t="s">
        <v>20</v>
      </c>
      <c r="F724">
        <v>985</v>
      </c>
      <c r="G724">
        <v>446999</v>
      </c>
      <c r="H724">
        <v>2023</v>
      </c>
      <c r="I724">
        <v>8</v>
      </c>
      <c r="J724" t="s">
        <v>509</v>
      </c>
      <c r="K724">
        <v>3</v>
      </c>
      <c r="L724" t="s">
        <v>31</v>
      </c>
      <c r="M724">
        <v>1</v>
      </c>
      <c r="N724" t="b">
        <v>1</v>
      </c>
      <c r="O724" t="b">
        <v>0</v>
      </c>
      <c r="P724">
        <v>446999</v>
      </c>
    </row>
    <row r="725" spans="1:16" x14ac:dyDescent="0.3">
      <c r="A725" t="s">
        <v>1375</v>
      </c>
      <c r="B725" t="s">
        <v>1376</v>
      </c>
      <c r="C725" t="s">
        <v>18</v>
      </c>
      <c r="D725" t="s">
        <v>19</v>
      </c>
      <c r="E725" t="s">
        <v>20</v>
      </c>
      <c r="F725">
        <v>880</v>
      </c>
      <c r="G725">
        <v>447879</v>
      </c>
      <c r="H725">
        <v>2023</v>
      </c>
      <c r="I725">
        <v>8</v>
      </c>
      <c r="J725" t="s">
        <v>509</v>
      </c>
      <c r="K725">
        <v>3</v>
      </c>
      <c r="L725" t="s">
        <v>38</v>
      </c>
      <c r="M725">
        <v>2</v>
      </c>
      <c r="N725" t="b">
        <v>1</v>
      </c>
      <c r="O725" t="b">
        <v>0</v>
      </c>
      <c r="P725">
        <v>447879</v>
      </c>
    </row>
    <row r="726" spans="1:16" x14ac:dyDescent="0.3">
      <c r="A726" t="s">
        <v>1377</v>
      </c>
      <c r="B726" t="s">
        <v>1378</v>
      </c>
      <c r="C726" t="s">
        <v>18</v>
      </c>
      <c r="D726" t="s">
        <v>19</v>
      </c>
      <c r="E726" t="s">
        <v>20</v>
      </c>
      <c r="F726">
        <v>828</v>
      </c>
      <c r="G726">
        <v>448707</v>
      </c>
      <c r="H726">
        <v>2023</v>
      </c>
      <c r="I726">
        <v>8</v>
      </c>
      <c r="J726" t="s">
        <v>509</v>
      </c>
      <c r="K726">
        <v>3</v>
      </c>
      <c r="L726" t="s">
        <v>41</v>
      </c>
      <c r="M726">
        <v>3</v>
      </c>
      <c r="N726" t="b">
        <v>1</v>
      </c>
      <c r="O726" t="b">
        <v>0</v>
      </c>
      <c r="P726">
        <v>448707</v>
      </c>
    </row>
    <row r="727" spans="1:16" x14ac:dyDescent="0.3">
      <c r="A727" t="s">
        <v>1379</v>
      </c>
      <c r="B727" t="s">
        <v>1380</v>
      </c>
      <c r="C727" t="s">
        <v>18</v>
      </c>
      <c r="D727" t="s">
        <v>19</v>
      </c>
      <c r="E727" t="s">
        <v>20</v>
      </c>
      <c r="F727">
        <v>1056</v>
      </c>
      <c r="G727">
        <v>449763</v>
      </c>
      <c r="H727">
        <v>2023</v>
      </c>
      <c r="I727">
        <v>9</v>
      </c>
      <c r="J727" t="s">
        <v>581</v>
      </c>
      <c r="K727">
        <v>3</v>
      </c>
      <c r="L727" t="s">
        <v>44</v>
      </c>
      <c r="M727">
        <v>4</v>
      </c>
      <c r="N727" t="b">
        <v>1</v>
      </c>
      <c r="O727" t="b">
        <v>0</v>
      </c>
      <c r="P727">
        <v>449763</v>
      </c>
    </row>
    <row r="728" spans="1:16" x14ac:dyDescent="0.3">
      <c r="A728" t="s">
        <v>1379</v>
      </c>
      <c r="B728" t="s">
        <v>1381</v>
      </c>
      <c r="C728" t="s">
        <v>33</v>
      </c>
      <c r="D728" t="s">
        <v>34</v>
      </c>
      <c r="E728" t="s">
        <v>35</v>
      </c>
      <c r="F728">
        <v>204</v>
      </c>
      <c r="G728">
        <v>449559</v>
      </c>
      <c r="H728">
        <v>2023</v>
      </c>
      <c r="I728">
        <v>9</v>
      </c>
      <c r="J728" t="s">
        <v>581</v>
      </c>
      <c r="K728">
        <v>3</v>
      </c>
      <c r="L728" t="s">
        <v>44</v>
      </c>
      <c r="M728">
        <v>4</v>
      </c>
      <c r="N728" t="b">
        <v>0</v>
      </c>
      <c r="O728" t="b">
        <v>1</v>
      </c>
      <c r="P728">
        <v>449559</v>
      </c>
    </row>
    <row r="729" spans="1:16" x14ac:dyDescent="0.3">
      <c r="A729" t="s">
        <v>1382</v>
      </c>
      <c r="B729" t="s">
        <v>1383</v>
      </c>
      <c r="C729" t="s">
        <v>18</v>
      </c>
      <c r="D729" t="s">
        <v>19</v>
      </c>
      <c r="E729" t="s">
        <v>20</v>
      </c>
      <c r="F729">
        <v>822</v>
      </c>
      <c r="G729">
        <v>450381</v>
      </c>
      <c r="H729">
        <v>2023</v>
      </c>
      <c r="I729">
        <v>9</v>
      </c>
      <c r="J729" t="s">
        <v>581</v>
      </c>
      <c r="K729">
        <v>3</v>
      </c>
      <c r="L729" t="s">
        <v>22</v>
      </c>
      <c r="M729">
        <v>5</v>
      </c>
      <c r="N729" t="b">
        <v>1</v>
      </c>
      <c r="O729" t="b">
        <v>0</v>
      </c>
      <c r="P729">
        <v>450381</v>
      </c>
    </row>
    <row r="730" spans="1:16" x14ac:dyDescent="0.3">
      <c r="A730" t="s">
        <v>1382</v>
      </c>
      <c r="B730" t="s">
        <v>1384</v>
      </c>
      <c r="C730" t="s">
        <v>33</v>
      </c>
      <c r="D730" t="s">
        <v>34</v>
      </c>
      <c r="E730" t="s">
        <v>35</v>
      </c>
      <c r="F730">
        <v>236</v>
      </c>
      <c r="G730">
        <v>450145</v>
      </c>
      <c r="H730">
        <v>2023</v>
      </c>
      <c r="I730">
        <v>9</v>
      </c>
      <c r="J730" t="s">
        <v>581</v>
      </c>
      <c r="K730">
        <v>3</v>
      </c>
      <c r="L730" t="s">
        <v>22</v>
      </c>
      <c r="M730">
        <v>5</v>
      </c>
      <c r="N730" t="b">
        <v>0</v>
      </c>
      <c r="O730" t="b">
        <v>1</v>
      </c>
      <c r="P730">
        <v>450145</v>
      </c>
    </row>
    <row r="731" spans="1:16" x14ac:dyDescent="0.3">
      <c r="A731" t="s">
        <v>1385</v>
      </c>
      <c r="B731" t="s">
        <v>1386</v>
      </c>
      <c r="C731" t="s">
        <v>18</v>
      </c>
      <c r="D731" t="s">
        <v>19</v>
      </c>
      <c r="E731" t="s">
        <v>20</v>
      </c>
      <c r="F731">
        <v>1108</v>
      </c>
      <c r="G731">
        <v>451253</v>
      </c>
      <c r="H731">
        <v>2023</v>
      </c>
      <c r="I731">
        <v>9</v>
      </c>
      <c r="J731" t="s">
        <v>581</v>
      </c>
      <c r="K731">
        <v>3</v>
      </c>
      <c r="L731" t="s">
        <v>25</v>
      </c>
      <c r="M731">
        <v>6</v>
      </c>
      <c r="N731" t="b">
        <v>1</v>
      </c>
      <c r="O731" t="b">
        <v>0</v>
      </c>
      <c r="P731">
        <v>451253</v>
      </c>
    </row>
    <row r="732" spans="1:16" x14ac:dyDescent="0.3">
      <c r="A732" t="s">
        <v>1387</v>
      </c>
      <c r="B732" t="s">
        <v>1388</v>
      </c>
      <c r="C732" t="s">
        <v>18</v>
      </c>
      <c r="D732" t="s">
        <v>19</v>
      </c>
      <c r="E732" t="s">
        <v>20</v>
      </c>
      <c r="F732">
        <v>869</v>
      </c>
      <c r="G732">
        <v>452122</v>
      </c>
      <c r="H732">
        <v>2023</v>
      </c>
      <c r="I732">
        <v>9</v>
      </c>
      <c r="J732" t="s">
        <v>581</v>
      </c>
      <c r="K732">
        <v>3</v>
      </c>
      <c r="L732" t="s">
        <v>28</v>
      </c>
      <c r="M732">
        <v>0</v>
      </c>
      <c r="N732" t="b">
        <v>1</v>
      </c>
      <c r="O732" t="b">
        <v>0</v>
      </c>
      <c r="P732">
        <v>452122</v>
      </c>
    </row>
    <row r="733" spans="1:16" x14ac:dyDescent="0.3">
      <c r="A733" t="s">
        <v>1389</v>
      </c>
      <c r="B733" t="s">
        <v>1390</v>
      </c>
      <c r="C733" t="s">
        <v>18</v>
      </c>
      <c r="D733" t="s">
        <v>19</v>
      </c>
      <c r="E733" t="s">
        <v>20</v>
      </c>
      <c r="F733">
        <v>739</v>
      </c>
      <c r="G733">
        <v>452861</v>
      </c>
      <c r="H733">
        <v>2023</v>
      </c>
      <c r="I733">
        <v>9</v>
      </c>
      <c r="J733" t="s">
        <v>581</v>
      </c>
      <c r="K733">
        <v>3</v>
      </c>
      <c r="L733" t="s">
        <v>31</v>
      </c>
      <c r="M733">
        <v>1</v>
      </c>
      <c r="N733" t="b">
        <v>1</v>
      </c>
      <c r="O733" t="b">
        <v>0</v>
      </c>
      <c r="P733">
        <v>452861</v>
      </c>
    </row>
    <row r="734" spans="1:16" x14ac:dyDescent="0.3">
      <c r="A734" t="s">
        <v>1391</v>
      </c>
      <c r="B734" t="s">
        <v>1392</v>
      </c>
      <c r="C734" t="s">
        <v>18</v>
      </c>
      <c r="D734" t="s">
        <v>19</v>
      </c>
      <c r="E734" t="s">
        <v>20</v>
      </c>
      <c r="F734">
        <v>1094</v>
      </c>
      <c r="G734">
        <v>453955</v>
      </c>
      <c r="H734">
        <v>2023</v>
      </c>
      <c r="I734">
        <v>9</v>
      </c>
      <c r="J734" t="s">
        <v>581</v>
      </c>
      <c r="K734">
        <v>3</v>
      </c>
      <c r="L734" t="s">
        <v>38</v>
      </c>
      <c r="M734">
        <v>2</v>
      </c>
      <c r="N734" t="b">
        <v>1</v>
      </c>
      <c r="O734" t="b">
        <v>0</v>
      </c>
      <c r="P734">
        <v>453955</v>
      </c>
    </row>
    <row r="735" spans="1:16" x14ac:dyDescent="0.3">
      <c r="A735" t="s">
        <v>1391</v>
      </c>
      <c r="B735" t="s">
        <v>1393</v>
      </c>
      <c r="C735" t="s">
        <v>33</v>
      </c>
      <c r="D735" t="s">
        <v>34</v>
      </c>
      <c r="E735" t="s">
        <v>35</v>
      </c>
      <c r="F735">
        <v>223</v>
      </c>
      <c r="G735">
        <v>453732</v>
      </c>
      <c r="H735">
        <v>2023</v>
      </c>
      <c r="I735">
        <v>9</v>
      </c>
      <c r="J735" t="s">
        <v>581</v>
      </c>
      <c r="K735">
        <v>3</v>
      </c>
      <c r="L735" t="s">
        <v>38</v>
      </c>
      <c r="M735">
        <v>2</v>
      </c>
      <c r="N735" t="b">
        <v>0</v>
      </c>
      <c r="O735" t="b">
        <v>1</v>
      </c>
      <c r="P735">
        <v>453732</v>
      </c>
    </row>
    <row r="736" spans="1:16" x14ac:dyDescent="0.3">
      <c r="A736" t="s">
        <v>1394</v>
      </c>
      <c r="B736" t="s">
        <v>1395</v>
      </c>
      <c r="C736" t="s">
        <v>18</v>
      </c>
      <c r="D736" t="s">
        <v>19</v>
      </c>
      <c r="E736" t="s">
        <v>20</v>
      </c>
      <c r="F736">
        <v>1088</v>
      </c>
      <c r="G736">
        <v>454820</v>
      </c>
      <c r="H736">
        <v>2023</v>
      </c>
      <c r="I736">
        <v>9</v>
      </c>
      <c r="J736" t="s">
        <v>581</v>
      </c>
      <c r="K736">
        <v>3</v>
      </c>
      <c r="L736" t="s">
        <v>41</v>
      </c>
      <c r="M736">
        <v>3</v>
      </c>
      <c r="N736" t="b">
        <v>1</v>
      </c>
      <c r="O736" t="b">
        <v>0</v>
      </c>
      <c r="P736">
        <v>454820</v>
      </c>
    </row>
    <row r="737" spans="1:16" x14ac:dyDescent="0.3">
      <c r="A737" t="s">
        <v>1394</v>
      </c>
      <c r="B737" t="s">
        <v>1396</v>
      </c>
      <c r="C737" t="s">
        <v>46</v>
      </c>
      <c r="D737" t="s">
        <v>34</v>
      </c>
      <c r="E737" t="s">
        <v>35</v>
      </c>
      <c r="F737">
        <v>136</v>
      </c>
      <c r="G737">
        <v>454684</v>
      </c>
      <c r="H737">
        <v>2023</v>
      </c>
      <c r="I737">
        <v>9</v>
      </c>
      <c r="J737" t="s">
        <v>581</v>
      </c>
      <c r="K737">
        <v>3</v>
      </c>
      <c r="L737" t="s">
        <v>41</v>
      </c>
      <c r="M737">
        <v>3</v>
      </c>
      <c r="N737" t="b">
        <v>0</v>
      </c>
      <c r="O737" t="b">
        <v>1</v>
      </c>
      <c r="P737">
        <v>454684</v>
      </c>
    </row>
    <row r="738" spans="1:16" x14ac:dyDescent="0.3">
      <c r="A738" t="s">
        <v>1397</v>
      </c>
      <c r="B738" t="s">
        <v>1398</v>
      </c>
      <c r="C738" t="s">
        <v>18</v>
      </c>
      <c r="D738" t="s">
        <v>19</v>
      </c>
      <c r="E738" t="s">
        <v>20</v>
      </c>
      <c r="F738">
        <v>875</v>
      </c>
      <c r="G738">
        <v>455559</v>
      </c>
      <c r="H738">
        <v>2023</v>
      </c>
      <c r="I738">
        <v>9</v>
      </c>
      <c r="J738" t="s">
        <v>581</v>
      </c>
      <c r="K738">
        <v>3</v>
      </c>
      <c r="L738" t="s">
        <v>44</v>
      </c>
      <c r="M738">
        <v>4</v>
      </c>
      <c r="N738" t="b">
        <v>1</v>
      </c>
      <c r="O738" t="b">
        <v>0</v>
      </c>
      <c r="P738">
        <v>455559</v>
      </c>
    </row>
    <row r="739" spans="1:16" x14ac:dyDescent="0.3">
      <c r="A739" t="s">
        <v>1399</v>
      </c>
      <c r="B739" t="s">
        <v>1400</v>
      </c>
      <c r="C739" t="s">
        <v>18</v>
      </c>
      <c r="D739" t="s">
        <v>19</v>
      </c>
      <c r="E739" t="s">
        <v>20</v>
      </c>
      <c r="F739">
        <v>1152</v>
      </c>
      <c r="G739">
        <v>456711</v>
      </c>
      <c r="H739">
        <v>2023</v>
      </c>
      <c r="I739">
        <v>9</v>
      </c>
      <c r="J739" t="s">
        <v>581</v>
      </c>
      <c r="K739">
        <v>3</v>
      </c>
      <c r="L739" t="s">
        <v>22</v>
      </c>
      <c r="M739">
        <v>5</v>
      </c>
      <c r="N739" t="b">
        <v>1</v>
      </c>
      <c r="O739" t="b">
        <v>0</v>
      </c>
      <c r="P739">
        <v>456711</v>
      </c>
    </row>
    <row r="740" spans="1:16" x14ac:dyDescent="0.3">
      <c r="A740" t="s">
        <v>1401</v>
      </c>
      <c r="B740" t="s">
        <v>1402</v>
      </c>
      <c r="C740" t="s">
        <v>18</v>
      </c>
      <c r="D740" t="s">
        <v>19</v>
      </c>
      <c r="E740" t="s">
        <v>20</v>
      </c>
      <c r="F740">
        <v>813</v>
      </c>
      <c r="G740">
        <v>457524</v>
      </c>
      <c r="H740">
        <v>2023</v>
      </c>
      <c r="I740">
        <v>9</v>
      </c>
      <c r="J740" t="s">
        <v>581</v>
      </c>
      <c r="K740">
        <v>3</v>
      </c>
      <c r="L740" t="s">
        <v>25</v>
      </c>
      <c r="M740">
        <v>6</v>
      </c>
      <c r="N740" t="b">
        <v>1</v>
      </c>
      <c r="O740" t="b">
        <v>0</v>
      </c>
      <c r="P740">
        <v>457524</v>
      </c>
    </row>
    <row r="741" spans="1:16" x14ac:dyDescent="0.3">
      <c r="A741" t="s">
        <v>1403</v>
      </c>
      <c r="B741" t="s">
        <v>1404</v>
      </c>
      <c r="C741" t="s">
        <v>18</v>
      </c>
      <c r="D741" t="s">
        <v>19</v>
      </c>
      <c r="E741" t="s">
        <v>20</v>
      </c>
      <c r="F741">
        <v>923</v>
      </c>
      <c r="G741">
        <v>458447</v>
      </c>
      <c r="H741">
        <v>2023</v>
      </c>
      <c r="I741">
        <v>9</v>
      </c>
      <c r="J741" t="s">
        <v>581</v>
      </c>
      <c r="K741">
        <v>3</v>
      </c>
      <c r="L741" t="s">
        <v>28</v>
      </c>
      <c r="M741">
        <v>0</v>
      </c>
      <c r="N741" t="b">
        <v>1</v>
      </c>
      <c r="O741" t="b">
        <v>0</v>
      </c>
      <c r="P741">
        <v>458447</v>
      </c>
    </row>
    <row r="742" spans="1:16" x14ac:dyDescent="0.3">
      <c r="A742" t="s">
        <v>1405</v>
      </c>
      <c r="B742" t="s">
        <v>1406</v>
      </c>
      <c r="C742" t="s">
        <v>18</v>
      </c>
      <c r="D742" t="s">
        <v>19</v>
      </c>
      <c r="E742" t="s">
        <v>20</v>
      </c>
      <c r="F742">
        <v>814</v>
      </c>
      <c r="G742">
        <v>459261</v>
      </c>
      <c r="H742">
        <v>2023</v>
      </c>
      <c r="I742">
        <v>9</v>
      </c>
      <c r="J742" t="s">
        <v>581</v>
      </c>
      <c r="K742">
        <v>3</v>
      </c>
      <c r="L742" t="s">
        <v>31</v>
      </c>
      <c r="M742">
        <v>1</v>
      </c>
      <c r="N742" t="b">
        <v>1</v>
      </c>
      <c r="O742" t="b">
        <v>0</v>
      </c>
      <c r="P742">
        <v>459261</v>
      </c>
    </row>
    <row r="743" spans="1:16" x14ac:dyDescent="0.3">
      <c r="A743" t="s">
        <v>1407</v>
      </c>
      <c r="B743" t="s">
        <v>1408</v>
      </c>
      <c r="C743" t="s">
        <v>18</v>
      </c>
      <c r="D743" t="s">
        <v>19</v>
      </c>
      <c r="E743" t="s">
        <v>20</v>
      </c>
      <c r="F743">
        <v>755</v>
      </c>
      <c r="G743">
        <v>460016</v>
      </c>
      <c r="H743">
        <v>2023</v>
      </c>
      <c r="I743">
        <v>9</v>
      </c>
      <c r="J743" t="s">
        <v>581</v>
      </c>
      <c r="K743">
        <v>3</v>
      </c>
      <c r="L743" t="s">
        <v>38</v>
      </c>
      <c r="M743">
        <v>2</v>
      </c>
      <c r="N743" t="b">
        <v>1</v>
      </c>
      <c r="O743" t="b">
        <v>0</v>
      </c>
      <c r="P743">
        <v>460016</v>
      </c>
    </row>
    <row r="744" spans="1:16" x14ac:dyDescent="0.3">
      <c r="A744" t="s">
        <v>1409</v>
      </c>
      <c r="B744" t="s">
        <v>1410</v>
      </c>
      <c r="C744" t="s">
        <v>18</v>
      </c>
      <c r="D744" t="s">
        <v>19</v>
      </c>
      <c r="E744" t="s">
        <v>20</v>
      </c>
      <c r="F744">
        <v>739</v>
      </c>
      <c r="G744">
        <v>460755</v>
      </c>
      <c r="H744">
        <v>2023</v>
      </c>
      <c r="I744">
        <v>9</v>
      </c>
      <c r="J744" t="s">
        <v>581</v>
      </c>
      <c r="K744">
        <v>3</v>
      </c>
      <c r="L744" t="s">
        <v>41</v>
      </c>
      <c r="M744">
        <v>3</v>
      </c>
      <c r="N744" t="b">
        <v>1</v>
      </c>
      <c r="O744" t="b">
        <v>0</v>
      </c>
      <c r="P744">
        <v>460755</v>
      </c>
    </row>
    <row r="745" spans="1:16" x14ac:dyDescent="0.3">
      <c r="A745" t="s">
        <v>1411</v>
      </c>
      <c r="B745" t="s">
        <v>1412</v>
      </c>
      <c r="C745" t="s">
        <v>18</v>
      </c>
      <c r="D745" t="s">
        <v>19</v>
      </c>
      <c r="E745" t="s">
        <v>20</v>
      </c>
      <c r="F745">
        <v>936</v>
      </c>
      <c r="G745">
        <v>461691</v>
      </c>
      <c r="H745">
        <v>2023</v>
      </c>
      <c r="I745">
        <v>9</v>
      </c>
      <c r="J745" t="s">
        <v>581</v>
      </c>
      <c r="K745">
        <v>3</v>
      </c>
      <c r="L745" t="s">
        <v>44</v>
      </c>
      <c r="M745">
        <v>4</v>
      </c>
      <c r="N745" t="b">
        <v>1</v>
      </c>
      <c r="O745" t="b">
        <v>0</v>
      </c>
      <c r="P745">
        <v>461691</v>
      </c>
    </row>
    <row r="746" spans="1:16" x14ac:dyDescent="0.3">
      <c r="A746" t="s">
        <v>1413</v>
      </c>
      <c r="B746" t="s">
        <v>1414</v>
      </c>
      <c r="C746" t="s">
        <v>18</v>
      </c>
      <c r="D746" t="s">
        <v>19</v>
      </c>
      <c r="E746" t="s">
        <v>20</v>
      </c>
      <c r="F746">
        <v>915</v>
      </c>
      <c r="G746">
        <v>462606</v>
      </c>
      <c r="H746">
        <v>2023</v>
      </c>
      <c r="I746">
        <v>9</v>
      </c>
      <c r="J746" t="s">
        <v>581</v>
      </c>
      <c r="K746">
        <v>3</v>
      </c>
      <c r="L746" t="s">
        <v>22</v>
      </c>
      <c r="M746">
        <v>5</v>
      </c>
      <c r="N746" t="b">
        <v>1</v>
      </c>
      <c r="O746" t="b">
        <v>0</v>
      </c>
      <c r="P746">
        <v>462606</v>
      </c>
    </row>
    <row r="747" spans="1:16" x14ac:dyDescent="0.3">
      <c r="A747" t="s">
        <v>1415</v>
      </c>
      <c r="B747" t="s">
        <v>1416</v>
      </c>
      <c r="C747" t="s">
        <v>18</v>
      </c>
      <c r="D747" t="s">
        <v>19</v>
      </c>
      <c r="E747" t="s">
        <v>20</v>
      </c>
      <c r="F747">
        <v>867</v>
      </c>
      <c r="G747">
        <v>463473</v>
      </c>
      <c r="H747">
        <v>2023</v>
      </c>
      <c r="I747">
        <v>9</v>
      </c>
      <c r="J747" t="s">
        <v>581</v>
      </c>
      <c r="K747">
        <v>3</v>
      </c>
      <c r="L747" t="s">
        <v>25</v>
      </c>
      <c r="M747">
        <v>6</v>
      </c>
      <c r="N747" t="b">
        <v>1</v>
      </c>
      <c r="O747" t="b">
        <v>0</v>
      </c>
      <c r="P747">
        <v>463473</v>
      </c>
    </row>
    <row r="748" spans="1:16" x14ac:dyDescent="0.3">
      <c r="A748" t="s">
        <v>1417</v>
      </c>
      <c r="B748" t="s">
        <v>1418</v>
      </c>
      <c r="C748" t="s">
        <v>18</v>
      </c>
      <c r="D748" t="s">
        <v>19</v>
      </c>
      <c r="E748" t="s">
        <v>20</v>
      </c>
      <c r="F748">
        <v>758</v>
      </c>
      <c r="G748">
        <v>464231</v>
      </c>
      <c r="H748">
        <v>2023</v>
      </c>
      <c r="I748">
        <v>9</v>
      </c>
      <c r="J748" t="s">
        <v>581</v>
      </c>
      <c r="K748">
        <v>3</v>
      </c>
      <c r="L748" t="s">
        <v>28</v>
      </c>
      <c r="M748">
        <v>0</v>
      </c>
      <c r="N748" t="b">
        <v>1</v>
      </c>
      <c r="O748" t="b">
        <v>0</v>
      </c>
      <c r="P748">
        <v>464231</v>
      </c>
    </row>
    <row r="749" spans="1:16" x14ac:dyDescent="0.3">
      <c r="A749" t="s">
        <v>1419</v>
      </c>
      <c r="B749" t="s">
        <v>1420</v>
      </c>
      <c r="C749" t="s">
        <v>18</v>
      </c>
      <c r="D749" t="s">
        <v>19</v>
      </c>
      <c r="E749" t="s">
        <v>20</v>
      </c>
      <c r="F749">
        <v>868</v>
      </c>
      <c r="G749">
        <v>465099</v>
      </c>
      <c r="H749">
        <v>2023</v>
      </c>
      <c r="I749">
        <v>9</v>
      </c>
      <c r="J749" t="s">
        <v>581</v>
      </c>
      <c r="K749">
        <v>3</v>
      </c>
      <c r="L749" t="s">
        <v>31</v>
      </c>
      <c r="M749">
        <v>1</v>
      </c>
      <c r="N749" t="b">
        <v>1</v>
      </c>
      <c r="O749" t="b">
        <v>0</v>
      </c>
      <c r="P749">
        <v>465099</v>
      </c>
    </row>
    <row r="750" spans="1:16" x14ac:dyDescent="0.3">
      <c r="A750" t="s">
        <v>1421</v>
      </c>
      <c r="B750" t="s">
        <v>1422</v>
      </c>
      <c r="C750" t="s">
        <v>18</v>
      </c>
      <c r="D750" t="s">
        <v>19</v>
      </c>
      <c r="E750" t="s">
        <v>20</v>
      </c>
      <c r="F750">
        <v>744</v>
      </c>
      <c r="G750">
        <v>465843</v>
      </c>
      <c r="H750">
        <v>2023</v>
      </c>
      <c r="I750">
        <v>9</v>
      </c>
      <c r="J750" t="s">
        <v>581</v>
      </c>
      <c r="K750">
        <v>3</v>
      </c>
      <c r="L750" t="s">
        <v>38</v>
      </c>
      <c r="M750">
        <v>2</v>
      </c>
      <c r="N750" t="b">
        <v>1</v>
      </c>
      <c r="O750" t="b">
        <v>0</v>
      </c>
      <c r="P750">
        <v>465843</v>
      </c>
    </row>
    <row r="751" spans="1:16" x14ac:dyDescent="0.3">
      <c r="A751" t="s">
        <v>1423</v>
      </c>
      <c r="B751" t="s">
        <v>1424</v>
      </c>
      <c r="C751" t="s">
        <v>46</v>
      </c>
      <c r="D751" t="s">
        <v>34</v>
      </c>
      <c r="E751" t="s">
        <v>35</v>
      </c>
      <c r="F751">
        <v>254</v>
      </c>
      <c r="G751">
        <v>466458</v>
      </c>
      <c r="H751">
        <v>2023</v>
      </c>
      <c r="I751">
        <v>9</v>
      </c>
      <c r="J751" t="s">
        <v>581</v>
      </c>
      <c r="K751">
        <v>3</v>
      </c>
      <c r="L751" t="s">
        <v>41</v>
      </c>
      <c r="M751">
        <v>3</v>
      </c>
      <c r="N751" t="b">
        <v>0</v>
      </c>
      <c r="O751" t="b">
        <v>1</v>
      </c>
      <c r="P751">
        <v>465589</v>
      </c>
    </row>
    <row r="752" spans="1:16" x14ac:dyDescent="0.3">
      <c r="A752" t="s">
        <v>1423</v>
      </c>
      <c r="B752" t="s">
        <v>1425</v>
      </c>
      <c r="C752" t="s">
        <v>18</v>
      </c>
      <c r="D752" t="s">
        <v>19</v>
      </c>
      <c r="E752" t="s">
        <v>20</v>
      </c>
      <c r="F752">
        <v>869</v>
      </c>
      <c r="G752">
        <v>466712</v>
      </c>
      <c r="H752">
        <v>2023</v>
      </c>
      <c r="I752">
        <v>9</v>
      </c>
      <c r="J752" t="s">
        <v>581</v>
      </c>
      <c r="K752">
        <v>3</v>
      </c>
      <c r="L752" t="s">
        <v>41</v>
      </c>
      <c r="M752">
        <v>3</v>
      </c>
      <c r="N752" t="b">
        <v>1</v>
      </c>
      <c r="O752" t="b">
        <v>0</v>
      </c>
      <c r="P752">
        <v>466458</v>
      </c>
    </row>
    <row r="753" spans="1:16" x14ac:dyDescent="0.3">
      <c r="A753" t="s">
        <v>1426</v>
      </c>
      <c r="B753" t="s">
        <v>1427</v>
      </c>
      <c r="C753" t="s">
        <v>18</v>
      </c>
      <c r="D753" t="s">
        <v>19</v>
      </c>
      <c r="E753" t="s">
        <v>20</v>
      </c>
      <c r="F753">
        <v>706</v>
      </c>
      <c r="G753">
        <v>467164</v>
      </c>
      <c r="H753">
        <v>2023</v>
      </c>
      <c r="I753">
        <v>9</v>
      </c>
      <c r="J753" t="s">
        <v>581</v>
      </c>
      <c r="K753">
        <v>3</v>
      </c>
      <c r="L753" t="s">
        <v>44</v>
      </c>
      <c r="M753">
        <v>4</v>
      </c>
      <c r="N753" t="b">
        <v>1</v>
      </c>
      <c r="O753" t="b">
        <v>0</v>
      </c>
      <c r="P753">
        <v>467164</v>
      </c>
    </row>
    <row r="754" spans="1:16" x14ac:dyDescent="0.3">
      <c r="A754" t="s">
        <v>1428</v>
      </c>
      <c r="B754" t="s">
        <v>1429</v>
      </c>
      <c r="C754" t="s">
        <v>18</v>
      </c>
      <c r="D754" t="s">
        <v>19</v>
      </c>
      <c r="E754" t="s">
        <v>20</v>
      </c>
      <c r="F754">
        <v>744</v>
      </c>
      <c r="G754">
        <v>467908</v>
      </c>
      <c r="H754">
        <v>2023</v>
      </c>
      <c r="I754">
        <v>9</v>
      </c>
      <c r="J754" t="s">
        <v>581</v>
      </c>
      <c r="K754">
        <v>3</v>
      </c>
      <c r="L754" t="s">
        <v>22</v>
      </c>
      <c r="M754">
        <v>5</v>
      </c>
      <c r="N754" t="b">
        <v>1</v>
      </c>
      <c r="O754" t="b">
        <v>0</v>
      </c>
      <c r="P754">
        <v>467908</v>
      </c>
    </row>
    <row r="755" spans="1:16" x14ac:dyDescent="0.3">
      <c r="A755" t="s">
        <v>1430</v>
      </c>
      <c r="B755" t="s">
        <v>1431</v>
      </c>
      <c r="C755" t="s">
        <v>18</v>
      </c>
      <c r="D755" t="s">
        <v>19</v>
      </c>
      <c r="E755" t="s">
        <v>20</v>
      </c>
      <c r="F755">
        <v>1198</v>
      </c>
      <c r="G755">
        <v>469106</v>
      </c>
      <c r="H755">
        <v>2023</v>
      </c>
      <c r="I755">
        <v>9</v>
      </c>
      <c r="J755" t="s">
        <v>581</v>
      </c>
      <c r="K755">
        <v>3</v>
      </c>
      <c r="L755" t="s">
        <v>25</v>
      </c>
      <c r="M755">
        <v>6</v>
      </c>
      <c r="N755" t="b">
        <v>1</v>
      </c>
      <c r="O755" t="b">
        <v>0</v>
      </c>
      <c r="P755">
        <v>469106</v>
      </c>
    </row>
    <row r="756" spans="1:16" x14ac:dyDescent="0.3">
      <c r="A756" t="s">
        <v>1432</v>
      </c>
      <c r="B756" t="s">
        <v>1433</v>
      </c>
      <c r="C756" t="s">
        <v>18</v>
      </c>
      <c r="D756" t="s">
        <v>19</v>
      </c>
      <c r="E756" t="s">
        <v>20</v>
      </c>
      <c r="F756">
        <v>1125</v>
      </c>
      <c r="G756">
        <v>470231</v>
      </c>
      <c r="H756">
        <v>2023</v>
      </c>
      <c r="I756">
        <v>9</v>
      </c>
      <c r="J756" t="s">
        <v>581</v>
      </c>
      <c r="K756">
        <v>3</v>
      </c>
      <c r="L756" t="s">
        <v>28</v>
      </c>
      <c r="M756">
        <v>0</v>
      </c>
      <c r="N756" t="b">
        <v>1</v>
      </c>
      <c r="O756" t="b">
        <v>0</v>
      </c>
      <c r="P756">
        <v>470231</v>
      </c>
    </row>
    <row r="757" spans="1:16" x14ac:dyDescent="0.3">
      <c r="A757" t="s">
        <v>1432</v>
      </c>
      <c r="B757" t="s">
        <v>1434</v>
      </c>
      <c r="C757" t="s">
        <v>137</v>
      </c>
      <c r="D757" t="s">
        <v>34</v>
      </c>
      <c r="E757" t="s">
        <v>35</v>
      </c>
      <c r="F757">
        <v>462</v>
      </c>
      <c r="G757">
        <v>469769</v>
      </c>
      <c r="H757">
        <v>2023</v>
      </c>
      <c r="I757">
        <v>9</v>
      </c>
      <c r="J757" t="s">
        <v>581</v>
      </c>
      <c r="K757">
        <v>3</v>
      </c>
      <c r="L757" t="s">
        <v>28</v>
      </c>
      <c r="M757">
        <v>0</v>
      </c>
      <c r="N757" t="b">
        <v>0</v>
      </c>
      <c r="O757" t="b">
        <v>1</v>
      </c>
      <c r="P757">
        <v>469769</v>
      </c>
    </row>
    <row r="758" spans="1:16" x14ac:dyDescent="0.3">
      <c r="A758" t="s">
        <v>1435</v>
      </c>
      <c r="B758" t="s">
        <v>1436</v>
      </c>
      <c r="C758" t="s">
        <v>18</v>
      </c>
      <c r="D758" t="s">
        <v>19</v>
      </c>
      <c r="E758" t="s">
        <v>20</v>
      </c>
      <c r="F758">
        <v>857</v>
      </c>
      <c r="G758">
        <v>470626</v>
      </c>
      <c r="H758">
        <v>2023</v>
      </c>
      <c r="I758">
        <v>9</v>
      </c>
      <c r="J758" t="s">
        <v>581</v>
      </c>
      <c r="K758">
        <v>3</v>
      </c>
      <c r="L758" t="s">
        <v>31</v>
      </c>
      <c r="M758">
        <v>1</v>
      </c>
      <c r="N758" t="b">
        <v>1</v>
      </c>
      <c r="O758" t="b">
        <v>0</v>
      </c>
      <c r="P758">
        <v>470626</v>
      </c>
    </row>
    <row r="759" spans="1:16" x14ac:dyDescent="0.3">
      <c r="A759" t="s">
        <v>1437</v>
      </c>
      <c r="B759" t="s">
        <v>1438</v>
      </c>
      <c r="C759" t="s">
        <v>18</v>
      </c>
      <c r="D759" t="s">
        <v>19</v>
      </c>
      <c r="E759" t="s">
        <v>20</v>
      </c>
      <c r="F759">
        <v>781</v>
      </c>
      <c r="G759">
        <v>471407</v>
      </c>
      <c r="H759">
        <v>2023</v>
      </c>
      <c r="I759">
        <v>9</v>
      </c>
      <c r="J759" t="s">
        <v>581</v>
      </c>
      <c r="K759">
        <v>3</v>
      </c>
      <c r="L759" t="s">
        <v>38</v>
      </c>
      <c r="M759">
        <v>2</v>
      </c>
      <c r="N759" t="b">
        <v>1</v>
      </c>
      <c r="O759" t="b">
        <v>0</v>
      </c>
      <c r="P759">
        <v>471407</v>
      </c>
    </row>
    <row r="760" spans="1:16" x14ac:dyDescent="0.3">
      <c r="A760" t="s">
        <v>1439</v>
      </c>
      <c r="B760" t="s">
        <v>1440</v>
      </c>
      <c r="C760" t="s">
        <v>18</v>
      </c>
      <c r="D760" t="s">
        <v>19</v>
      </c>
      <c r="E760" t="s">
        <v>20</v>
      </c>
      <c r="F760">
        <v>905</v>
      </c>
      <c r="G760">
        <v>472312</v>
      </c>
      <c r="H760">
        <v>2023</v>
      </c>
      <c r="I760">
        <v>9</v>
      </c>
      <c r="J760" t="s">
        <v>581</v>
      </c>
      <c r="K760">
        <v>3</v>
      </c>
      <c r="L760" t="s">
        <v>41</v>
      </c>
      <c r="M760">
        <v>3</v>
      </c>
      <c r="N760" t="b">
        <v>1</v>
      </c>
      <c r="O760" t="b">
        <v>0</v>
      </c>
      <c r="P760">
        <v>472312</v>
      </c>
    </row>
    <row r="761" spans="1:16" x14ac:dyDescent="0.3">
      <c r="A761" t="s">
        <v>1441</v>
      </c>
      <c r="B761" t="s">
        <v>1442</v>
      </c>
      <c r="C761" t="s">
        <v>18</v>
      </c>
      <c r="D761" t="s">
        <v>19</v>
      </c>
      <c r="E761" t="s">
        <v>20</v>
      </c>
      <c r="F761">
        <v>711</v>
      </c>
      <c r="G761">
        <v>473023</v>
      </c>
      <c r="H761">
        <v>2023</v>
      </c>
      <c r="I761">
        <v>9</v>
      </c>
      <c r="J761" t="s">
        <v>581</v>
      </c>
      <c r="K761">
        <v>3</v>
      </c>
      <c r="L761" t="s">
        <v>44</v>
      </c>
      <c r="M761">
        <v>4</v>
      </c>
      <c r="N761" t="b">
        <v>1</v>
      </c>
      <c r="O761" t="b">
        <v>0</v>
      </c>
      <c r="P761">
        <v>473023</v>
      </c>
    </row>
    <row r="762" spans="1:16" x14ac:dyDescent="0.3">
      <c r="A762" t="s">
        <v>1441</v>
      </c>
      <c r="B762" t="s">
        <v>1443</v>
      </c>
      <c r="C762" t="s">
        <v>137</v>
      </c>
      <c r="D762" t="s">
        <v>34</v>
      </c>
      <c r="E762" t="s">
        <v>35</v>
      </c>
      <c r="F762">
        <v>323</v>
      </c>
      <c r="G762">
        <v>472700</v>
      </c>
      <c r="H762">
        <v>2023</v>
      </c>
      <c r="I762">
        <v>9</v>
      </c>
      <c r="J762" t="s">
        <v>581</v>
      </c>
      <c r="K762">
        <v>3</v>
      </c>
      <c r="L762" t="s">
        <v>44</v>
      </c>
      <c r="M762">
        <v>4</v>
      </c>
      <c r="N762" t="b">
        <v>0</v>
      </c>
      <c r="O762" t="b">
        <v>1</v>
      </c>
      <c r="P762">
        <v>472700</v>
      </c>
    </row>
    <row r="763" spans="1:16" x14ac:dyDescent="0.3">
      <c r="A763" t="s">
        <v>1444</v>
      </c>
      <c r="B763" t="s">
        <v>1445</v>
      </c>
      <c r="C763" t="s">
        <v>18</v>
      </c>
      <c r="D763" t="s">
        <v>19</v>
      </c>
      <c r="E763" t="s">
        <v>20</v>
      </c>
      <c r="F763">
        <v>745</v>
      </c>
      <c r="G763">
        <v>473445</v>
      </c>
      <c r="H763">
        <v>2023</v>
      </c>
      <c r="I763">
        <v>9</v>
      </c>
      <c r="J763" t="s">
        <v>581</v>
      </c>
      <c r="K763">
        <v>3</v>
      </c>
      <c r="L763" t="s">
        <v>22</v>
      </c>
      <c r="M763">
        <v>5</v>
      </c>
      <c r="N763" t="b">
        <v>1</v>
      </c>
      <c r="O763" t="b">
        <v>0</v>
      </c>
      <c r="P763">
        <v>473445</v>
      </c>
    </row>
    <row r="764" spans="1:16" x14ac:dyDescent="0.3">
      <c r="A764" t="s">
        <v>1446</v>
      </c>
      <c r="B764" t="s">
        <v>1447</v>
      </c>
      <c r="C764" t="s">
        <v>18</v>
      </c>
      <c r="D764" t="s">
        <v>19</v>
      </c>
      <c r="E764" t="s">
        <v>20</v>
      </c>
      <c r="F764">
        <v>932</v>
      </c>
      <c r="G764">
        <v>474377</v>
      </c>
      <c r="H764">
        <v>2023</v>
      </c>
      <c r="I764">
        <v>10</v>
      </c>
      <c r="J764" t="s">
        <v>647</v>
      </c>
      <c r="K764">
        <v>4</v>
      </c>
      <c r="L764" t="s">
        <v>25</v>
      </c>
      <c r="M764">
        <v>6</v>
      </c>
      <c r="N764" t="b">
        <v>1</v>
      </c>
      <c r="O764" t="b">
        <v>0</v>
      </c>
      <c r="P764">
        <v>474377</v>
      </c>
    </row>
    <row r="765" spans="1:16" x14ac:dyDescent="0.3">
      <c r="A765" t="s">
        <v>1448</v>
      </c>
      <c r="B765" t="s">
        <v>1449</v>
      </c>
      <c r="C765" t="s">
        <v>18</v>
      </c>
      <c r="D765" t="s">
        <v>19</v>
      </c>
      <c r="E765" t="s">
        <v>20</v>
      </c>
      <c r="F765">
        <v>922</v>
      </c>
      <c r="G765">
        <v>475299</v>
      </c>
      <c r="H765">
        <v>2023</v>
      </c>
      <c r="I765">
        <v>10</v>
      </c>
      <c r="J765" t="s">
        <v>647</v>
      </c>
      <c r="K765">
        <v>4</v>
      </c>
      <c r="L765" t="s">
        <v>28</v>
      </c>
      <c r="M765">
        <v>0</v>
      </c>
      <c r="N765" t="b">
        <v>1</v>
      </c>
      <c r="O765" t="b">
        <v>0</v>
      </c>
      <c r="P765">
        <v>475299</v>
      </c>
    </row>
    <row r="766" spans="1:16" x14ac:dyDescent="0.3">
      <c r="A766" t="s">
        <v>1450</v>
      </c>
      <c r="B766" t="s">
        <v>1451</v>
      </c>
      <c r="C766" t="s">
        <v>18</v>
      </c>
      <c r="D766" t="s">
        <v>19</v>
      </c>
      <c r="E766" t="s">
        <v>20</v>
      </c>
      <c r="F766">
        <v>1147</v>
      </c>
      <c r="G766">
        <v>476446</v>
      </c>
      <c r="H766">
        <v>2023</v>
      </c>
      <c r="I766">
        <v>10</v>
      </c>
      <c r="J766" t="s">
        <v>647</v>
      </c>
      <c r="K766">
        <v>4</v>
      </c>
      <c r="L766" t="s">
        <v>31</v>
      </c>
      <c r="M766">
        <v>1</v>
      </c>
      <c r="N766" t="b">
        <v>1</v>
      </c>
      <c r="O766" t="b">
        <v>0</v>
      </c>
      <c r="P766">
        <v>476446</v>
      </c>
    </row>
    <row r="767" spans="1:16" x14ac:dyDescent="0.3">
      <c r="A767" t="s">
        <v>1452</v>
      </c>
      <c r="B767" t="s">
        <v>1453</v>
      </c>
      <c r="C767" t="s">
        <v>55</v>
      </c>
      <c r="D767" t="s">
        <v>56</v>
      </c>
      <c r="E767" t="s">
        <v>35</v>
      </c>
      <c r="F767">
        <v>173</v>
      </c>
      <c r="G767">
        <v>477135</v>
      </c>
      <c r="H767">
        <v>2023</v>
      </c>
      <c r="I767">
        <v>10</v>
      </c>
      <c r="J767" t="s">
        <v>647</v>
      </c>
      <c r="K767">
        <v>4</v>
      </c>
      <c r="L767" t="s">
        <v>38</v>
      </c>
      <c r="M767">
        <v>2</v>
      </c>
      <c r="N767" t="b">
        <v>0</v>
      </c>
      <c r="O767" t="b">
        <v>1</v>
      </c>
      <c r="P767">
        <v>476273</v>
      </c>
    </row>
    <row r="768" spans="1:16" x14ac:dyDescent="0.3">
      <c r="A768" t="s">
        <v>1452</v>
      </c>
      <c r="B768" t="s">
        <v>1454</v>
      </c>
      <c r="C768" t="s">
        <v>18</v>
      </c>
      <c r="D768" t="s">
        <v>19</v>
      </c>
      <c r="E768" t="s">
        <v>20</v>
      </c>
      <c r="F768">
        <v>862</v>
      </c>
      <c r="G768">
        <v>477308</v>
      </c>
      <c r="H768">
        <v>2023</v>
      </c>
      <c r="I768">
        <v>10</v>
      </c>
      <c r="J768" t="s">
        <v>647</v>
      </c>
      <c r="K768">
        <v>4</v>
      </c>
      <c r="L768" t="s">
        <v>38</v>
      </c>
      <c r="M768">
        <v>2</v>
      </c>
      <c r="N768" t="b">
        <v>1</v>
      </c>
      <c r="O768" t="b">
        <v>0</v>
      </c>
      <c r="P768">
        <v>477135</v>
      </c>
    </row>
    <row r="769" spans="1:16" x14ac:dyDescent="0.3">
      <c r="A769" t="s">
        <v>1455</v>
      </c>
      <c r="B769" t="s">
        <v>1456</v>
      </c>
      <c r="C769" t="s">
        <v>18</v>
      </c>
      <c r="D769" t="s">
        <v>19</v>
      </c>
      <c r="E769" t="s">
        <v>20</v>
      </c>
      <c r="F769">
        <v>923</v>
      </c>
      <c r="G769">
        <v>478058</v>
      </c>
      <c r="H769">
        <v>2023</v>
      </c>
      <c r="I769">
        <v>10</v>
      </c>
      <c r="J769" t="s">
        <v>647</v>
      </c>
      <c r="K769">
        <v>4</v>
      </c>
      <c r="L769" t="s">
        <v>41</v>
      </c>
      <c r="M769">
        <v>3</v>
      </c>
      <c r="N769" t="b">
        <v>1</v>
      </c>
      <c r="O769" t="b">
        <v>0</v>
      </c>
      <c r="P769">
        <v>478058</v>
      </c>
    </row>
    <row r="770" spans="1:16" x14ac:dyDescent="0.3">
      <c r="A770" t="s">
        <v>1457</v>
      </c>
      <c r="B770" t="s">
        <v>1458</v>
      </c>
      <c r="C770" t="s">
        <v>18</v>
      </c>
      <c r="D770" t="s">
        <v>19</v>
      </c>
      <c r="E770" t="s">
        <v>20</v>
      </c>
      <c r="F770">
        <v>1111</v>
      </c>
      <c r="G770">
        <v>479169</v>
      </c>
      <c r="H770">
        <v>2023</v>
      </c>
      <c r="I770">
        <v>10</v>
      </c>
      <c r="J770" t="s">
        <v>647</v>
      </c>
      <c r="K770">
        <v>4</v>
      </c>
      <c r="L770" t="s">
        <v>44</v>
      </c>
      <c r="M770">
        <v>4</v>
      </c>
      <c r="N770" t="b">
        <v>1</v>
      </c>
      <c r="O770" t="b">
        <v>0</v>
      </c>
      <c r="P770">
        <v>479169</v>
      </c>
    </row>
    <row r="771" spans="1:16" x14ac:dyDescent="0.3">
      <c r="A771" t="s">
        <v>1459</v>
      </c>
      <c r="B771" t="s">
        <v>1460</v>
      </c>
      <c r="C771" t="s">
        <v>18</v>
      </c>
      <c r="D771" t="s">
        <v>19</v>
      </c>
      <c r="E771" t="s">
        <v>20</v>
      </c>
      <c r="F771">
        <v>921</v>
      </c>
      <c r="G771">
        <v>480090</v>
      </c>
      <c r="H771">
        <v>2023</v>
      </c>
      <c r="I771">
        <v>10</v>
      </c>
      <c r="J771" t="s">
        <v>647</v>
      </c>
      <c r="K771">
        <v>4</v>
      </c>
      <c r="L771" t="s">
        <v>22</v>
      </c>
      <c r="M771">
        <v>5</v>
      </c>
      <c r="N771" t="b">
        <v>1</v>
      </c>
      <c r="O771" t="b">
        <v>0</v>
      </c>
      <c r="P771">
        <v>480090</v>
      </c>
    </row>
    <row r="772" spans="1:16" x14ac:dyDescent="0.3">
      <c r="A772" t="s">
        <v>1461</v>
      </c>
      <c r="B772" t="s">
        <v>1462</v>
      </c>
      <c r="C772" t="s">
        <v>18</v>
      </c>
      <c r="D772" t="s">
        <v>19</v>
      </c>
      <c r="E772" t="s">
        <v>20</v>
      </c>
      <c r="F772">
        <v>977</v>
      </c>
      <c r="G772">
        <v>481067</v>
      </c>
      <c r="H772">
        <v>2023</v>
      </c>
      <c r="I772">
        <v>10</v>
      </c>
      <c r="J772" t="s">
        <v>647</v>
      </c>
      <c r="K772">
        <v>4</v>
      </c>
      <c r="L772" t="s">
        <v>25</v>
      </c>
      <c r="M772">
        <v>6</v>
      </c>
      <c r="N772" t="b">
        <v>1</v>
      </c>
      <c r="O772" t="b">
        <v>0</v>
      </c>
      <c r="P772">
        <v>481067</v>
      </c>
    </row>
    <row r="773" spans="1:16" x14ac:dyDescent="0.3">
      <c r="A773" t="s">
        <v>1463</v>
      </c>
      <c r="B773" t="s">
        <v>1464</v>
      </c>
      <c r="C773" t="s">
        <v>18</v>
      </c>
      <c r="D773" t="s">
        <v>19</v>
      </c>
      <c r="E773" t="s">
        <v>20</v>
      </c>
      <c r="F773">
        <v>1051</v>
      </c>
      <c r="G773">
        <v>482118</v>
      </c>
      <c r="H773">
        <v>2023</v>
      </c>
      <c r="I773">
        <v>10</v>
      </c>
      <c r="J773" t="s">
        <v>647</v>
      </c>
      <c r="K773">
        <v>4</v>
      </c>
      <c r="L773" t="s">
        <v>28</v>
      </c>
      <c r="M773">
        <v>0</v>
      </c>
      <c r="N773" t="b">
        <v>1</v>
      </c>
      <c r="O773" t="b">
        <v>0</v>
      </c>
      <c r="P773">
        <v>482118</v>
      </c>
    </row>
    <row r="774" spans="1:16" x14ac:dyDescent="0.3">
      <c r="A774" t="s">
        <v>1465</v>
      </c>
      <c r="B774" t="s">
        <v>1466</v>
      </c>
      <c r="C774" t="s">
        <v>18</v>
      </c>
      <c r="D774" t="s">
        <v>19</v>
      </c>
      <c r="E774" t="s">
        <v>20</v>
      </c>
      <c r="F774">
        <v>1023</v>
      </c>
      <c r="G774">
        <v>483141</v>
      </c>
      <c r="H774">
        <v>2023</v>
      </c>
      <c r="I774">
        <v>10</v>
      </c>
      <c r="J774" t="s">
        <v>647</v>
      </c>
      <c r="K774">
        <v>4</v>
      </c>
      <c r="L774" t="s">
        <v>31</v>
      </c>
      <c r="M774">
        <v>1</v>
      </c>
      <c r="N774" t="b">
        <v>1</v>
      </c>
      <c r="O774" t="b">
        <v>0</v>
      </c>
      <c r="P774">
        <v>483141</v>
      </c>
    </row>
    <row r="775" spans="1:16" x14ac:dyDescent="0.3">
      <c r="A775" t="s">
        <v>1467</v>
      </c>
      <c r="B775" t="s">
        <v>1468</v>
      </c>
      <c r="C775" t="s">
        <v>18</v>
      </c>
      <c r="D775" t="s">
        <v>19</v>
      </c>
      <c r="E775" t="s">
        <v>20</v>
      </c>
      <c r="F775">
        <v>716</v>
      </c>
      <c r="G775">
        <v>483857</v>
      </c>
      <c r="H775">
        <v>2023</v>
      </c>
      <c r="I775">
        <v>10</v>
      </c>
      <c r="J775" t="s">
        <v>647</v>
      </c>
      <c r="K775">
        <v>4</v>
      </c>
      <c r="L775" t="s">
        <v>38</v>
      </c>
      <c r="M775">
        <v>2</v>
      </c>
      <c r="N775" t="b">
        <v>1</v>
      </c>
      <c r="O775" t="b">
        <v>0</v>
      </c>
      <c r="P775">
        <v>483857</v>
      </c>
    </row>
    <row r="776" spans="1:16" x14ac:dyDescent="0.3">
      <c r="A776" t="s">
        <v>1469</v>
      </c>
      <c r="B776" t="s">
        <v>1470</v>
      </c>
      <c r="C776" t="s">
        <v>18</v>
      </c>
      <c r="D776" t="s">
        <v>19</v>
      </c>
      <c r="E776" t="s">
        <v>20</v>
      </c>
      <c r="F776">
        <v>1100</v>
      </c>
      <c r="G776">
        <v>484957</v>
      </c>
      <c r="H776">
        <v>2023</v>
      </c>
      <c r="I776">
        <v>10</v>
      </c>
      <c r="J776" t="s">
        <v>647</v>
      </c>
      <c r="K776">
        <v>4</v>
      </c>
      <c r="L776" t="s">
        <v>41</v>
      </c>
      <c r="M776">
        <v>3</v>
      </c>
      <c r="N776" t="b">
        <v>1</v>
      </c>
      <c r="O776" t="b">
        <v>0</v>
      </c>
      <c r="P776">
        <v>484957</v>
      </c>
    </row>
    <row r="777" spans="1:16" x14ac:dyDescent="0.3">
      <c r="A777" t="s">
        <v>1471</v>
      </c>
      <c r="B777" t="s">
        <v>1472</v>
      </c>
      <c r="C777" t="s">
        <v>18</v>
      </c>
      <c r="D777" t="s">
        <v>19</v>
      </c>
      <c r="E777" t="s">
        <v>20</v>
      </c>
      <c r="F777">
        <v>892</v>
      </c>
      <c r="G777">
        <v>485849</v>
      </c>
      <c r="H777">
        <v>2023</v>
      </c>
      <c r="I777">
        <v>10</v>
      </c>
      <c r="J777" t="s">
        <v>647</v>
      </c>
      <c r="K777">
        <v>4</v>
      </c>
      <c r="L777" t="s">
        <v>44</v>
      </c>
      <c r="M777">
        <v>4</v>
      </c>
      <c r="N777" t="b">
        <v>1</v>
      </c>
      <c r="O777" t="b">
        <v>0</v>
      </c>
      <c r="P777">
        <v>485849</v>
      </c>
    </row>
    <row r="778" spans="1:16" x14ac:dyDescent="0.3">
      <c r="A778" t="s">
        <v>1471</v>
      </c>
      <c r="B778" t="s">
        <v>1473</v>
      </c>
      <c r="C778" t="s">
        <v>33</v>
      </c>
      <c r="D778" t="s">
        <v>34</v>
      </c>
      <c r="E778" t="s">
        <v>35</v>
      </c>
      <c r="F778">
        <v>219</v>
      </c>
      <c r="G778">
        <v>485630</v>
      </c>
      <c r="H778">
        <v>2023</v>
      </c>
      <c r="I778">
        <v>10</v>
      </c>
      <c r="J778" t="s">
        <v>647</v>
      </c>
      <c r="K778">
        <v>4</v>
      </c>
      <c r="L778" t="s">
        <v>44</v>
      </c>
      <c r="M778">
        <v>4</v>
      </c>
      <c r="N778" t="b">
        <v>0</v>
      </c>
      <c r="O778" t="b">
        <v>1</v>
      </c>
      <c r="P778">
        <v>485630</v>
      </c>
    </row>
    <row r="779" spans="1:16" x14ac:dyDescent="0.3">
      <c r="A779" t="s">
        <v>1474</v>
      </c>
      <c r="B779" t="s">
        <v>1475</v>
      </c>
      <c r="C779" t="s">
        <v>18</v>
      </c>
      <c r="D779" t="s">
        <v>19</v>
      </c>
      <c r="E779" t="s">
        <v>20</v>
      </c>
      <c r="F779">
        <v>909</v>
      </c>
      <c r="G779">
        <v>486539</v>
      </c>
      <c r="H779">
        <v>2023</v>
      </c>
      <c r="I779">
        <v>10</v>
      </c>
      <c r="J779" t="s">
        <v>647</v>
      </c>
      <c r="K779">
        <v>4</v>
      </c>
      <c r="L779" t="s">
        <v>22</v>
      </c>
      <c r="M779">
        <v>5</v>
      </c>
      <c r="N779" t="b">
        <v>1</v>
      </c>
      <c r="O779" t="b">
        <v>0</v>
      </c>
      <c r="P779">
        <v>486539</v>
      </c>
    </row>
    <row r="780" spans="1:16" x14ac:dyDescent="0.3">
      <c r="A780" t="s">
        <v>1476</v>
      </c>
      <c r="B780" t="s">
        <v>1477</v>
      </c>
      <c r="C780" t="s">
        <v>18</v>
      </c>
      <c r="D780" t="s">
        <v>19</v>
      </c>
      <c r="E780" t="s">
        <v>20</v>
      </c>
      <c r="F780">
        <v>891</v>
      </c>
      <c r="G780">
        <v>487430</v>
      </c>
      <c r="H780">
        <v>2023</v>
      </c>
      <c r="I780">
        <v>10</v>
      </c>
      <c r="J780" t="s">
        <v>647</v>
      </c>
      <c r="K780">
        <v>4</v>
      </c>
      <c r="L780" t="s">
        <v>25</v>
      </c>
      <c r="M780">
        <v>6</v>
      </c>
      <c r="N780" t="b">
        <v>1</v>
      </c>
      <c r="O780" t="b">
        <v>0</v>
      </c>
      <c r="P780">
        <v>487430</v>
      </c>
    </row>
    <row r="781" spans="1:16" x14ac:dyDescent="0.3">
      <c r="A781" t="s">
        <v>1478</v>
      </c>
      <c r="B781" t="s">
        <v>1479</v>
      </c>
      <c r="C781" t="s">
        <v>18</v>
      </c>
      <c r="D781" t="s">
        <v>19</v>
      </c>
      <c r="E781" t="s">
        <v>20</v>
      </c>
      <c r="F781">
        <v>903</v>
      </c>
      <c r="G781">
        <v>488333</v>
      </c>
      <c r="H781">
        <v>2023</v>
      </c>
      <c r="I781">
        <v>10</v>
      </c>
      <c r="J781" t="s">
        <v>647</v>
      </c>
      <c r="K781">
        <v>4</v>
      </c>
      <c r="L781" t="s">
        <v>28</v>
      </c>
      <c r="M781">
        <v>0</v>
      </c>
      <c r="N781" t="b">
        <v>1</v>
      </c>
      <c r="O781" t="b">
        <v>0</v>
      </c>
      <c r="P781">
        <v>488333</v>
      </c>
    </row>
    <row r="782" spans="1:16" x14ac:dyDescent="0.3">
      <c r="A782" t="s">
        <v>1480</v>
      </c>
      <c r="B782" t="s">
        <v>1481</v>
      </c>
      <c r="C782" t="s">
        <v>18</v>
      </c>
      <c r="D782" t="s">
        <v>19</v>
      </c>
      <c r="E782" t="s">
        <v>20</v>
      </c>
      <c r="F782">
        <v>926</v>
      </c>
      <c r="G782">
        <v>489259</v>
      </c>
      <c r="H782">
        <v>2023</v>
      </c>
      <c r="I782">
        <v>10</v>
      </c>
      <c r="J782" t="s">
        <v>647</v>
      </c>
      <c r="K782">
        <v>4</v>
      </c>
      <c r="L782" t="s">
        <v>31</v>
      </c>
      <c r="M782">
        <v>1</v>
      </c>
      <c r="N782" t="b">
        <v>1</v>
      </c>
      <c r="O782" t="b">
        <v>0</v>
      </c>
      <c r="P782">
        <v>489259</v>
      </c>
    </row>
    <row r="783" spans="1:16" x14ac:dyDescent="0.3">
      <c r="A783" t="s">
        <v>1482</v>
      </c>
      <c r="B783" t="s">
        <v>1483</v>
      </c>
      <c r="C783" t="s">
        <v>18</v>
      </c>
      <c r="D783" t="s">
        <v>19</v>
      </c>
      <c r="E783" t="s">
        <v>20</v>
      </c>
      <c r="F783">
        <v>1159</v>
      </c>
      <c r="G783">
        <v>490418</v>
      </c>
      <c r="H783">
        <v>2023</v>
      </c>
      <c r="I783">
        <v>10</v>
      </c>
      <c r="J783" t="s">
        <v>647</v>
      </c>
      <c r="K783">
        <v>4</v>
      </c>
      <c r="L783" t="s">
        <v>38</v>
      </c>
      <c r="M783">
        <v>2</v>
      </c>
      <c r="N783" t="b">
        <v>1</v>
      </c>
      <c r="O783" t="b">
        <v>0</v>
      </c>
      <c r="P783">
        <v>490418</v>
      </c>
    </row>
    <row r="784" spans="1:16" x14ac:dyDescent="0.3">
      <c r="A784" t="s">
        <v>1482</v>
      </c>
      <c r="B784" t="s">
        <v>1484</v>
      </c>
      <c r="C784" t="s">
        <v>55</v>
      </c>
      <c r="D784" t="s">
        <v>56</v>
      </c>
      <c r="E784" t="s">
        <v>35</v>
      </c>
      <c r="F784">
        <v>494</v>
      </c>
      <c r="G784">
        <v>489924</v>
      </c>
      <c r="H784">
        <v>2023</v>
      </c>
      <c r="I784">
        <v>10</v>
      </c>
      <c r="J784" t="s">
        <v>647</v>
      </c>
      <c r="K784">
        <v>4</v>
      </c>
      <c r="L784" t="s">
        <v>38</v>
      </c>
      <c r="M784">
        <v>2</v>
      </c>
      <c r="N784" t="b">
        <v>0</v>
      </c>
      <c r="O784" t="b">
        <v>1</v>
      </c>
      <c r="P784">
        <v>489924</v>
      </c>
    </row>
    <row r="785" spans="1:16" x14ac:dyDescent="0.3">
      <c r="A785" t="s">
        <v>1485</v>
      </c>
      <c r="B785" t="s">
        <v>1486</v>
      </c>
      <c r="C785" t="s">
        <v>18</v>
      </c>
      <c r="D785" t="s">
        <v>19</v>
      </c>
      <c r="E785" t="s">
        <v>20</v>
      </c>
      <c r="F785">
        <v>833</v>
      </c>
      <c r="G785">
        <v>490757</v>
      </c>
      <c r="H785">
        <v>2023</v>
      </c>
      <c r="I785">
        <v>10</v>
      </c>
      <c r="J785" t="s">
        <v>647</v>
      </c>
      <c r="K785">
        <v>4</v>
      </c>
      <c r="L785" t="s">
        <v>41</v>
      </c>
      <c r="M785">
        <v>3</v>
      </c>
      <c r="N785" t="b">
        <v>1</v>
      </c>
      <c r="O785" t="b">
        <v>0</v>
      </c>
      <c r="P785">
        <v>490757</v>
      </c>
    </row>
    <row r="786" spans="1:16" x14ac:dyDescent="0.3">
      <c r="A786" t="s">
        <v>1487</v>
      </c>
      <c r="B786" t="s">
        <v>1488</v>
      </c>
      <c r="C786" t="s">
        <v>18</v>
      </c>
      <c r="D786" t="s">
        <v>19</v>
      </c>
      <c r="E786" t="s">
        <v>20</v>
      </c>
      <c r="F786">
        <v>1115</v>
      </c>
      <c r="G786">
        <v>491872</v>
      </c>
      <c r="H786">
        <v>2023</v>
      </c>
      <c r="I786">
        <v>10</v>
      </c>
      <c r="J786" t="s">
        <v>647</v>
      </c>
      <c r="K786">
        <v>4</v>
      </c>
      <c r="L786" t="s">
        <v>44</v>
      </c>
      <c r="M786">
        <v>4</v>
      </c>
      <c r="N786" t="b">
        <v>1</v>
      </c>
      <c r="O786" t="b">
        <v>0</v>
      </c>
      <c r="P786">
        <v>491872</v>
      </c>
    </row>
    <row r="787" spans="1:16" x14ac:dyDescent="0.3">
      <c r="A787" t="s">
        <v>1489</v>
      </c>
      <c r="B787" t="s">
        <v>1490</v>
      </c>
      <c r="C787" t="s">
        <v>18</v>
      </c>
      <c r="D787" t="s">
        <v>19</v>
      </c>
      <c r="E787" t="s">
        <v>20</v>
      </c>
      <c r="F787">
        <v>757</v>
      </c>
      <c r="G787">
        <v>492629</v>
      </c>
      <c r="H787">
        <v>2023</v>
      </c>
      <c r="I787">
        <v>10</v>
      </c>
      <c r="J787" t="s">
        <v>647</v>
      </c>
      <c r="K787">
        <v>4</v>
      </c>
      <c r="L787" t="s">
        <v>22</v>
      </c>
      <c r="M787">
        <v>5</v>
      </c>
      <c r="N787" t="b">
        <v>1</v>
      </c>
      <c r="O787" t="b">
        <v>0</v>
      </c>
      <c r="P787">
        <v>492629</v>
      </c>
    </row>
    <row r="788" spans="1:16" x14ac:dyDescent="0.3">
      <c r="A788" t="s">
        <v>1489</v>
      </c>
      <c r="B788" t="s">
        <v>1491</v>
      </c>
      <c r="C788" t="s">
        <v>137</v>
      </c>
      <c r="D788" t="s">
        <v>34</v>
      </c>
      <c r="E788" t="s">
        <v>35</v>
      </c>
      <c r="F788">
        <v>325</v>
      </c>
      <c r="G788">
        <v>492304</v>
      </c>
      <c r="H788">
        <v>2023</v>
      </c>
      <c r="I788">
        <v>10</v>
      </c>
      <c r="J788" t="s">
        <v>647</v>
      </c>
      <c r="K788">
        <v>4</v>
      </c>
      <c r="L788" t="s">
        <v>22</v>
      </c>
      <c r="M788">
        <v>5</v>
      </c>
      <c r="N788" t="b">
        <v>0</v>
      </c>
      <c r="O788" t="b">
        <v>1</v>
      </c>
      <c r="P788">
        <v>492304</v>
      </c>
    </row>
    <row r="789" spans="1:16" x14ac:dyDescent="0.3">
      <c r="A789" t="s">
        <v>1492</v>
      </c>
      <c r="B789" t="s">
        <v>1493</v>
      </c>
      <c r="C789" t="s">
        <v>18</v>
      </c>
      <c r="D789" t="s">
        <v>19</v>
      </c>
      <c r="E789" t="s">
        <v>20</v>
      </c>
      <c r="F789">
        <v>703</v>
      </c>
      <c r="G789">
        <v>493007</v>
      </c>
      <c r="H789">
        <v>2023</v>
      </c>
      <c r="I789">
        <v>10</v>
      </c>
      <c r="J789" t="s">
        <v>647</v>
      </c>
      <c r="K789">
        <v>4</v>
      </c>
      <c r="L789" t="s">
        <v>25</v>
      </c>
      <c r="M789">
        <v>6</v>
      </c>
      <c r="N789" t="b">
        <v>1</v>
      </c>
      <c r="O789" t="b">
        <v>0</v>
      </c>
      <c r="P789">
        <v>493007</v>
      </c>
    </row>
    <row r="790" spans="1:16" x14ac:dyDescent="0.3">
      <c r="A790" t="s">
        <v>1494</v>
      </c>
      <c r="B790" t="s">
        <v>1495</v>
      </c>
      <c r="C790" t="s">
        <v>18</v>
      </c>
      <c r="D790" t="s">
        <v>19</v>
      </c>
      <c r="E790" t="s">
        <v>20</v>
      </c>
      <c r="F790">
        <v>1096</v>
      </c>
      <c r="G790">
        <v>494103</v>
      </c>
      <c r="H790">
        <v>2023</v>
      </c>
      <c r="I790">
        <v>10</v>
      </c>
      <c r="J790" t="s">
        <v>647</v>
      </c>
      <c r="K790">
        <v>4</v>
      </c>
      <c r="L790" t="s">
        <v>28</v>
      </c>
      <c r="M790">
        <v>0</v>
      </c>
      <c r="N790" t="b">
        <v>1</v>
      </c>
      <c r="O790" t="b">
        <v>0</v>
      </c>
      <c r="P790">
        <v>494103</v>
      </c>
    </row>
    <row r="791" spans="1:16" x14ac:dyDescent="0.3">
      <c r="A791" t="s">
        <v>1496</v>
      </c>
      <c r="B791" t="s">
        <v>1497</v>
      </c>
      <c r="C791" t="s">
        <v>18</v>
      </c>
      <c r="D791" t="s">
        <v>19</v>
      </c>
      <c r="E791" t="s">
        <v>20</v>
      </c>
      <c r="F791">
        <v>970</v>
      </c>
      <c r="G791">
        <v>495073</v>
      </c>
      <c r="H791">
        <v>2023</v>
      </c>
      <c r="I791">
        <v>10</v>
      </c>
      <c r="J791" t="s">
        <v>647</v>
      </c>
      <c r="K791">
        <v>4</v>
      </c>
      <c r="L791" t="s">
        <v>31</v>
      </c>
      <c r="M791">
        <v>1</v>
      </c>
      <c r="N791" t="b">
        <v>1</v>
      </c>
      <c r="O791" t="b">
        <v>0</v>
      </c>
      <c r="P791">
        <v>495073</v>
      </c>
    </row>
    <row r="792" spans="1:16" x14ac:dyDescent="0.3">
      <c r="A792" t="s">
        <v>1498</v>
      </c>
      <c r="B792" t="s">
        <v>1499</v>
      </c>
      <c r="C792" t="s">
        <v>18</v>
      </c>
      <c r="D792" t="s">
        <v>19</v>
      </c>
      <c r="E792" t="s">
        <v>20</v>
      </c>
      <c r="F792">
        <v>856</v>
      </c>
      <c r="G792">
        <v>495929</v>
      </c>
      <c r="H792">
        <v>2023</v>
      </c>
      <c r="I792">
        <v>10</v>
      </c>
      <c r="J792" t="s">
        <v>647</v>
      </c>
      <c r="K792">
        <v>4</v>
      </c>
      <c r="L792" t="s">
        <v>38</v>
      </c>
      <c r="M792">
        <v>2</v>
      </c>
      <c r="N792" t="b">
        <v>1</v>
      </c>
      <c r="O792" t="b">
        <v>0</v>
      </c>
      <c r="P792">
        <v>495929</v>
      </c>
    </row>
    <row r="793" spans="1:16" x14ac:dyDescent="0.3">
      <c r="A793" t="s">
        <v>1500</v>
      </c>
      <c r="B793" t="s">
        <v>1501</v>
      </c>
      <c r="C793" t="s">
        <v>33</v>
      </c>
      <c r="D793" t="s">
        <v>34</v>
      </c>
      <c r="E793" t="s">
        <v>35</v>
      </c>
      <c r="F793">
        <v>183</v>
      </c>
      <c r="G793">
        <v>496733</v>
      </c>
      <c r="H793">
        <v>2023</v>
      </c>
      <c r="I793">
        <v>10</v>
      </c>
      <c r="J793" t="s">
        <v>647</v>
      </c>
      <c r="K793">
        <v>4</v>
      </c>
      <c r="L793" t="s">
        <v>41</v>
      </c>
      <c r="M793">
        <v>3</v>
      </c>
      <c r="N793" t="b">
        <v>0</v>
      </c>
      <c r="O793" t="b">
        <v>1</v>
      </c>
      <c r="P793">
        <v>495746</v>
      </c>
    </row>
    <row r="794" spans="1:16" x14ac:dyDescent="0.3">
      <c r="A794" t="s">
        <v>1500</v>
      </c>
      <c r="B794" t="s">
        <v>1502</v>
      </c>
      <c r="C794" t="s">
        <v>18</v>
      </c>
      <c r="D794" t="s">
        <v>19</v>
      </c>
      <c r="E794" t="s">
        <v>20</v>
      </c>
      <c r="F794">
        <v>987</v>
      </c>
      <c r="G794">
        <v>496916</v>
      </c>
      <c r="H794">
        <v>2023</v>
      </c>
      <c r="I794">
        <v>10</v>
      </c>
      <c r="J794" t="s">
        <v>647</v>
      </c>
      <c r="K794">
        <v>4</v>
      </c>
      <c r="L794" t="s">
        <v>41</v>
      </c>
      <c r="M794">
        <v>3</v>
      </c>
      <c r="N794" t="b">
        <v>1</v>
      </c>
      <c r="O794" t="b">
        <v>0</v>
      </c>
      <c r="P794">
        <v>496733</v>
      </c>
    </row>
    <row r="795" spans="1:16" x14ac:dyDescent="0.3">
      <c r="A795" t="s">
        <v>1503</v>
      </c>
      <c r="B795" t="s">
        <v>1504</v>
      </c>
      <c r="C795" t="s">
        <v>18</v>
      </c>
      <c r="D795" t="s">
        <v>19</v>
      </c>
      <c r="E795" t="s">
        <v>20</v>
      </c>
      <c r="F795">
        <v>726</v>
      </c>
      <c r="G795">
        <v>497459</v>
      </c>
      <c r="H795">
        <v>2023</v>
      </c>
      <c r="I795">
        <v>10</v>
      </c>
      <c r="J795" t="s">
        <v>647</v>
      </c>
      <c r="K795">
        <v>4</v>
      </c>
      <c r="L795" t="s">
        <v>44</v>
      </c>
      <c r="M795">
        <v>4</v>
      </c>
      <c r="N795" t="b">
        <v>1</v>
      </c>
      <c r="O795" t="b">
        <v>0</v>
      </c>
      <c r="P795">
        <v>497459</v>
      </c>
    </row>
    <row r="796" spans="1:16" x14ac:dyDescent="0.3">
      <c r="A796" t="s">
        <v>1505</v>
      </c>
      <c r="B796" t="s">
        <v>1506</v>
      </c>
      <c r="C796" t="s">
        <v>18</v>
      </c>
      <c r="D796" t="s">
        <v>19</v>
      </c>
      <c r="E796" t="s">
        <v>20</v>
      </c>
      <c r="F796">
        <v>1081</v>
      </c>
      <c r="G796">
        <v>498540</v>
      </c>
      <c r="H796">
        <v>2023</v>
      </c>
      <c r="I796">
        <v>10</v>
      </c>
      <c r="J796" t="s">
        <v>647</v>
      </c>
      <c r="K796">
        <v>4</v>
      </c>
      <c r="L796" t="s">
        <v>22</v>
      </c>
      <c r="M796">
        <v>5</v>
      </c>
      <c r="N796" t="b">
        <v>1</v>
      </c>
      <c r="O796" t="b">
        <v>0</v>
      </c>
      <c r="P796">
        <v>498540</v>
      </c>
    </row>
    <row r="797" spans="1:16" x14ac:dyDescent="0.3">
      <c r="A797" t="s">
        <v>1505</v>
      </c>
      <c r="B797" t="s">
        <v>1507</v>
      </c>
      <c r="C797" t="s">
        <v>137</v>
      </c>
      <c r="D797" t="s">
        <v>34</v>
      </c>
      <c r="E797" t="s">
        <v>35</v>
      </c>
      <c r="F797">
        <v>191</v>
      </c>
      <c r="G797">
        <v>498349</v>
      </c>
      <c r="H797">
        <v>2023</v>
      </c>
      <c r="I797">
        <v>10</v>
      </c>
      <c r="J797" t="s">
        <v>647</v>
      </c>
      <c r="K797">
        <v>4</v>
      </c>
      <c r="L797" t="s">
        <v>22</v>
      </c>
      <c r="M797">
        <v>5</v>
      </c>
      <c r="N797" t="b">
        <v>0</v>
      </c>
      <c r="O797" t="b">
        <v>1</v>
      </c>
      <c r="P797">
        <v>498349</v>
      </c>
    </row>
    <row r="798" spans="1:16" x14ac:dyDescent="0.3">
      <c r="A798" t="s">
        <v>1508</v>
      </c>
      <c r="B798" t="s">
        <v>1509</v>
      </c>
      <c r="C798" t="s">
        <v>18</v>
      </c>
      <c r="D798" t="s">
        <v>19</v>
      </c>
      <c r="E798" t="s">
        <v>20</v>
      </c>
      <c r="F798">
        <v>720</v>
      </c>
      <c r="G798">
        <v>499069</v>
      </c>
      <c r="H798">
        <v>2023</v>
      </c>
      <c r="I798">
        <v>10</v>
      </c>
      <c r="J798" t="s">
        <v>647</v>
      </c>
      <c r="K798">
        <v>4</v>
      </c>
      <c r="L798" t="s">
        <v>25</v>
      </c>
      <c r="M798">
        <v>6</v>
      </c>
      <c r="N798" t="b">
        <v>1</v>
      </c>
      <c r="O798" t="b">
        <v>0</v>
      </c>
      <c r="P798">
        <v>499069</v>
      </c>
    </row>
    <row r="799" spans="1:16" x14ac:dyDescent="0.3">
      <c r="A799" t="s">
        <v>1510</v>
      </c>
      <c r="B799" t="s">
        <v>1511</v>
      </c>
      <c r="C799" t="s">
        <v>18</v>
      </c>
      <c r="D799" t="s">
        <v>19</v>
      </c>
      <c r="E799" t="s">
        <v>20</v>
      </c>
      <c r="F799">
        <v>1056</v>
      </c>
      <c r="G799">
        <v>500125</v>
      </c>
      <c r="H799">
        <v>2023</v>
      </c>
      <c r="I799">
        <v>10</v>
      </c>
      <c r="J799" t="s">
        <v>647</v>
      </c>
      <c r="K799">
        <v>4</v>
      </c>
      <c r="L799" t="s">
        <v>28</v>
      </c>
      <c r="M799">
        <v>0</v>
      </c>
      <c r="N799" t="b">
        <v>1</v>
      </c>
      <c r="O799" t="b">
        <v>0</v>
      </c>
      <c r="P799">
        <v>500125</v>
      </c>
    </row>
    <row r="800" spans="1:16" x14ac:dyDescent="0.3">
      <c r="A800" t="s">
        <v>1512</v>
      </c>
      <c r="B800" t="s">
        <v>1513</v>
      </c>
      <c r="C800" t="s">
        <v>18</v>
      </c>
      <c r="D800" t="s">
        <v>19</v>
      </c>
      <c r="E800" t="s">
        <v>20</v>
      </c>
      <c r="F800">
        <v>961</v>
      </c>
      <c r="G800">
        <v>501086</v>
      </c>
      <c r="H800">
        <v>2023</v>
      </c>
      <c r="I800">
        <v>10</v>
      </c>
      <c r="J800" t="s">
        <v>647</v>
      </c>
      <c r="K800">
        <v>4</v>
      </c>
      <c r="L800" t="s">
        <v>31</v>
      </c>
      <c r="M800">
        <v>1</v>
      </c>
      <c r="N800" t="b">
        <v>1</v>
      </c>
      <c r="O800" t="b">
        <v>0</v>
      </c>
      <c r="P800">
        <v>501086</v>
      </c>
    </row>
    <row r="801" spans="1:16" x14ac:dyDescent="0.3">
      <c r="A801" t="s">
        <v>1514</v>
      </c>
      <c r="B801" t="s">
        <v>1515</v>
      </c>
      <c r="C801" t="s">
        <v>18</v>
      </c>
      <c r="D801" t="s">
        <v>19</v>
      </c>
      <c r="E801" t="s">
        <v>20</v>
      </c>
      <c r="F801">
        <v>1152</v>
      </c>
      <c r="G801">
        <v>502238</v>
      </c>
      <c r="H801">
        <v>2023</v>
      </c>
      <c r="I801">
        <v>11</v>
      </c>
      <c r="J801" t="s">
        <v>714</v>
      </c>
      <c r="K801">
        <v>4</v>
      </c>
      <c r="L801" t="s">
        <v>38</v>
      </c>
      <c r="M801">
        <v>2</v>
      </c>
      <c r="N801" t="b">
        <v>1</v>
      </c>
      <c r="O801" t="b">
        <v>0</v>
      </c>
      <c r="P801">
        <v>502238</v>
      </c>
    </row>
    <row r="802" spans="1:16" x14ac:dyDescent="0.3">
      <c r="A802" t="s">
        <v>1516</v>
      </c>
      <c r="B802" t="s">
        <v>1517</v>
      </c>
      <c r="C802" t="s">
        <v>18</v>
      </c>
      <c r="D802" t="s">
        <v>19</v>
      </c>
      <c r="E802" t="s">
        <v>20</v>
      </c>
      <c r="F802">
        <v>956</v>
      </c>
      <c r="G802">
        <v>503194</v>
      </c>
      <c r="H802">
        <v>2023</v>
      </c>
      <c r="I802">
        <v>11</v>
      </c>
      <c r="J802" t="s">
        <v>714</v>
      </c>
      <c r="K802">
        <v>4</v>
      </c>
      <c r="L802" t="s">
        <v>41</v>
      </c>
      <c r="M802">
        <v>3</v>
      </c>
      <c r="N802" t="b">
        <v>1</v>
      </c>
      <c r="O802" t="b">
        <v>0</v>
      </c>
      <c r="P802">
        <v>503194</v>
      </c>
    </row>
    <row r="803" spans="1:16" x14ac:dyDescent="0.3">
      <c r="A803" t="s">
        <v>1518</v>
      </c>
      <c r="B803" t="s">
        <v>1519</v>
      </c>
      <c r="C803" t="s">
        <v>18</v>
      </c>
      <c r="D803" t="s">
        <v>19</v>
      </c>
      <c r="E803" t="s">
        <v>20</v>
      </c>
      <c r="F803">
        <v>1121</v>
      </c>
      <c r="G803">
        <v>504315</v>
      </c>
      <c r="H803">
        <v>2023</v>
      </c>
      <c r="I803">
        <v>11</v>
      </c>
      <c r="J803" t="s">
        <v>714</v>
      </c>
      <c r="K803">
        <v>4</v>
      </c>
      <c r="L803" t="s">
        <v>44</v>
      </c>
      <c r="M803">
        <v>4</v>
      </c>
      <c r="N803" t="b">
        <v>1</v>
      </c>
      <c r="O803" t="b">
        <v>0</v>
      </c>
      <c r="P803">
        <v>504315</v>
      </c>
    </row>
    <row r="804" spans="1:16" x14ac:dyDescent="0.3">
      <c r="A804" t="s">
        <v>1520</v>
      </c>
      <c r="B804" t="s">
        <v>1521</v>
      </c>
      <c r="C804" t="s">
        <v>18</v>
      </c>
      <c r="D804" t="s">
        <v>19</v>
      </c>
      <c r="E804" t="s">
        <v>20</v>
      </c>
      <c r="F804">
        <v>1144</v>
      </c>
      <c r="G804">
        <v>505459</v>
      </c>
      <c r="H804">
        <v>2023</v>
      </c>
      <c r="I804">
        <v>11</v>
      </c>
      <c r="J804" t="s">
        <v>714</v>
      </c>
      <c r="K804">
        <v>4</v>
      </c>
      <c r="L804" t="s">
        <v>22</v>
      </c>
      <c r="M804">
        <v>5</v>
      </c>
      <c r="N804" t="b">
        <v>1</v>
      </c>
      <c r="O804" t="b">
        <v>0</v>
      </c>
      <c r="P804">
        <v>505459</v>
      </c>
    </row>
    <row r="805" spans="1:16" x14ac:dyDescent="0.3">
      <c r="A805" t="s">
        <v>1522</v>
      </c>
      <c r="B805" t="s">
        <v>1523</v>
      </c>
      <c r="C805" t="s">
        <v>18</v>
      </c>
      <c r="D805" t="s">
        <v>19</v>
      </c>
      <c r="E805" t="s">
        <v>20</v>
      </c>
      <c r="F805">
        <v>1196</v>
      </c>
      <c r="G805">
        <v>506655</v>
      </c>
      <c r="H805">
        <v>2023</v>
      </c>
      <c r="I805">
        <v>11</v>
      </c>
      <c r="J805" t="s">
        <v>714</v>
      </c>
      <c r="K805">
        <v>4</v>
      </c>
      <c r="L805" t="s">
        <v>25</v>
      </c>
      <c r="M805">
        <v>6</v>
      </c>
      <c r="N805" t="b">
        <v>1</v>
      </c>
      <c r="O805" t="b">
        <v>0</v>
      </c>
      <c r="P805">
        <v>506655</v>
      </c>
    </row>
    <row r="806" spans="1:16" x14ac:dyDescent="0.3">
      <c r="A806" t="s">
        <v>1524</v>
      </c>
      <c r="B806" t="s">
        <v>1525</v>
      </c>
      <c r="C806" t="s">
        <v>18</v>
      </c>
      <c r="D806" t="s">
        <v>19</v>
      </c>
      <c r="E806" t="s">
        <v>20</v>
      </c>
      <c r="F806">
        <v>711</v>
      </c>
      <c r="G806">
        <v>507366</v>
      </c>
      <c r="H806">
        <v>2023</v>
      </c>
      <c r="I806">
        <v>11</v>
      </c>
      <c r="J806" t="s">
        <v>714</v>
      </c>
      <c r="K806">
        <v>4</v>
      </c>
      <c r="L806" t="s">
        <v>28</v>
      </c>
      <c r="M806">
        <v>0</v>
      </c>
      <c r="N806" t="b">
        <v>1</v>
      </c>
      <c r="O806" t="b">
        <v>0</v>
      </c>
      <c r="P806">
        <v>507366</v>
      </c>
    </row>
    <row r="807" spans="1:16" x14ac:dyDescent="0.3">
      <c r="A807" t="s">
        <v>1526</v>
      </c>
      <c r="B807" t="s">
        <v>1527</v>
      </c>
      <c r="C807" t="s">
        <v>18</v>
      </c>
      <c r="D807" t="s">
        <v>19</v>
      </c>
      <c r="E807" t="s">
        <v>20</v>
      </c>
      <c r="F807">
        <v>1191</v>
      </c>
      <c r="G807">
        <v>508557</v>
      </c>
      <c r="H807">
        <v>2023</v>
      </c>
      <c r="I807">
        <v>11</v>
      </c>
      <c r="J807" t="s">
        <v>714</v>
      </c>
      <c r="K807">
        <v>4</v>
      </c>
      <c r="L807" t="s">
        <v>31</v>
      </c>
      <c r="M807">
        <v>1</v>
      </c>
      <c r="N807" t="b">
        <v>1</v>
      </c>
      <c r="O807" t="b">
        <v>0</v>
      </c>
      <c r="P807">
        <v>508557</v>
      </c>
    </row>
    <row r="808" spans="1:16" x14ac:dyDescent="0.3">
      <c r="A808" t="s">
        <v>1528</v>
      </c>
      <c r="B808" t="s">
        <v>1529</v>
      </c>
      <c r="C808" t="s">
        <v>18</v>
      </c>
      <c r="D808" t="s">
        <v>19</v>
      </c>
      <c r="E808" t="s">
        <v>20</v>
      </c>
      <c r="F808">
        <v>771</v>
      </c>
      <c r="G808">
        <v>509328</v>
      </c>
      <c r="H808">
        <v>2023</v>
      </c>
      <c r="I808">
        <v>11</v>
      </c>
      <c r="J808" t="s">
        <v>714</v>
      </c>
      <c r="K808">
        <v>4</v>
      </c>
      <c r="L808" t="s">
        <v>38</v>
      </c>
      <c r="M808">
        <v>2</v>
      </c>
      <c r="N808" t="b">
        <v>1</v>
      </c>
      <c r="O808" t="b">
        <v>0</v>
      </c>
      <c r="P808">
        <v>509328</v>
      </c>
    </row>
    <row r="809" spans="1:16" x14ac:dyDescent="0.3">
      <c r="A809" t="s">
        <v>1528</v>
      </c>
      <c r="B809" t="s">
        <v>1530</v>
      </c>
      <c r="C809" t="s">
        <v>137</v>
      </c>
      <c r="D809" t="s">
        <v>34</v>
      </c>
      <c r="E809" t="s">
        <v>35</v>
      </c>
      <c r="F809">
        <v>244</v>
      </c>
      <c r="G809">
        <v>509084</v>
      </c>
      <c r="H809">
        <v>2023</v>
      </c>
      <c r="I809">
        <v>11</v>
      </c>
      <c r="J809" t="s">
        <v>714</v>
      </c>
      <c r="K809">
        <v>4</v>
      </c>
      <c r="L809" t="s">
        <v>38</v>
      </c>
      <c r="M809">
        <v>2</v>
      </c>
      <c r="N809" t="b">
        <v>0</v>
      </c>
      <c r="O809" t="b">
        <v>1</v>
      </c>
      <c r="P809">
        <v>509084</v>
      </c>
    </row>
    <row r="810" spans="1:16" x14ac:dyDescent="0.3">
      <c r="A810" t="s">
        <v>1531</v>
      </c>
      <c r="B810" t="s">
        <v>1532</v>
      </c>
      <c r="C810" t="s">
        <v>18</v>
      </c>
      <c r="D810" t="s">
        <v>19</v>
      </c>
      <c r="E810" t="s">
        <v>20</v>
      </c>
      <c r="F810">
        <v>1008</v>
      </c>
      <c r="G810">
        <v>510092</v>
      </c>
      <c r="H810">
        <v>2023</v>
      </c>
      <c r="I810">
        <v>11</v>
      </c>
      <c r="J810" t="s">
        <v>714</v>
      </c>
      <c r="K810">
        <v>4</v>
      </c>
      <c r="L810" t="s">
        <v>41</v>
      </c>
      <c r="M810">
        <v>3</v>
      </c>
      <c r="N810" t="b">
        <v>1</v>
      </c>
      <c r="O810" t="b">
        <v>0</v>
      </c>
      <c r="P810">
        <v>510092</v>
      </c>
    </row>
    <row r="811" spans="1:16" x14ac:dyDescent="0.3">
      <c r="A811" t="s">
        <v>1531</v>
      </c>
      <c r="B811" t="s">
        <v>1533</v>
      </c>
      <c r="C811" t="s">
        <v>88</v>
      </c>
      <c r="D811" t="s">
        <v>56</v>
      </c>
      <c r="E811" t="s">
        <v>35</v>
      </c>
      <c r="F811">
        <v>126</v>
      </c>
      <c r="G811">
        <v>509966</v>
      </c>
      <c r="H811">
        <v>2023</v>
      </c>
      <c r="I811">
        <v>11</v>
      </c>
      <c r="J811" t="s">
        <v>714</v>
      </c>
      <c r="K811">
        <v>4</v>
      </c>
      <c r="L811" t="s">
        <v>41</v>
      </c>
      <c r="M811">
        <v>3</v>
      </c>
      <c r="N811" t="b">
        <v>0</v>
      </c>
      <c r="O811" t="b">
        <v>1</v>
      </c>
      <c r="P811">
        <v>509966</v>
      </c>
    </row>
    <row r="812" spans="1:16" x14ac:dyDescent="0.3">
      <c r="A812" t="s">
        <v>1534</v>
      </c>
      <c r="B812" t="s">
        <v>1535</v>
      </c>
      <c r="C812" t="s">
        <v>18</v>
      </c>
      <c r="D812" t="s">
        <v>19</v>
      </c>
      <c r="E812" t="s">
        <v>20</v>
      </c>
      <c r="F812">
        <v>1199</v>
      </c>
      <c r="G812">
        <v>511165</v>
      </c>
      <c r="H812">
        <v>2023</v>
      </c>
      <c r="I812">
        <v>11</v>
      </c>
      <c r="J812" t="s">
        <v>714</v>
      </c>
      <c r="K812">
        <v>4</v>
      </c>
      <c r="L812" t="s">
        <v>44</v>
      </c>
      <c r="M812">
        <v>4</v>
      </c>
      <c r="N812" t="b">
        <v>1</v>
      </c>
      <c r="O812" t="b">
        <v>0</v>
      </c>
      <c r="P812">
        <v>511165</v>
      </c>
    </row>
    <row r="813" spans="1:16" x14ac:dyDescent="0.3">
      <c r="A813" t="s">
        <v>1534</v>
      </c>
      <c r="B813" t="s">
        <v>1536</v>
      </c>
      <c r="C813" t="s">
        <v>46</v>
      </c>
      <c r="D813" t="s">
        <v>34</v>
      </c>
      <c r="E813" t="s">
        <v>35</v>
      </c>
      <c r="F813">
        <v>448</v>
      </c>
      <c r="G813">
        <v>510717</v>
      </c>
      <c r="H813">
        <v>2023</v>
      </c>
      <c r="I813">
        <v>11</v>
      </c>
      <c r="J813" t="s">
        <v>714</v>
      </c>
      <c r="K813">
        <v>4</v>
      </c>
      <c r="L813" t="s">
        <v>44</v>
      </c>
      <c r="M813">
        <v>4</v>
      </c>
      <c r="N813" t="b">
        <v>0</v>
      </c>
      <c r="O813" t="b">
        <v>1</v>
      </c>
      <c r="P813">
        <v>510717</v>
      </c>
    </row>
    <row r="814" spans="1:16" x14ac:dyDescent="0.3">
      <c r="A814" t="s">
        <v>1537</v>
      </c>
      <c r="B814" t="s">
        <v>1538</v>
      </c>
      <c r="C814" t="s">
        <v>18</v>
      </c>
      <c r="D814" t="s">
        <v>19</v>
      </c>
      <c r="E814" t="s">
        <v>20</v>
      </c>
      <c r="F814">
        <v>880</v>
      </c>
      <c r="G814">
        <v>511597</v>
      </c>
      <c r="H814">
        <v>2023</v>
      </c>
      <c r="I814">
        <v>11</v>
      </c>
      <c r="J814" t="s">
        <v>714</v>
      </c>
      <c r="K814">
        <v>4</v>
      </c>
      <c r="L814" t="s">
        <v>22</v>
      </c>
      <c r="M814">
        <v>5</v>
      </c>
      <c r="N814" t="b">
        <v>1</v>
      </c>
      <c r="O814" t="b">
        <v>0</v>
      </c>
      <c r="P814">
        <v>511597</v>
      </c>
    </row>
    <row r="815" spans="1:16" x14ac:dyDescent="0.3">
      <c r="A815" t="s">
        <v>1539</v>
      </c>
      <c r="B815" t="s">
        <v>1540</v>
      </c>
      <c r="C815" t="s">
        <v>18</v>
      </c>
      <c r="D815" t="s">
        <v>19</v>
      </c>
      <c r="E815" t="s">
        <v>20</v>
      </c>
      <c r="F815">
        <v>1077</v>
      </c>
      <c r="G815">
        <v>512674</v>
      </c>
      <c r="H815">
        <v>2023</v>
      </c>
      <c r="I815">
        <v>11</v>
      </c>
      <c r="J815" t="s">
        <v>714</v>
      </c>
      <c r="K815">
        <v>4</v>
      </c>
      <c r="L815" t="s">
        <v>25</v>
      </c>
      <c r="M815">
        <v>6</v>
      </c>
      <c r="N815" t="b">
        <v>1</v>
      </c>
      <c r="O815" t="b">
        <v>0</v>
      </c>
      <c r="P815">
        <v>512674</v>
      </c>
    </row>
    <row r="816" spans="1:16" x14ac:dyDescent="0.3">
      <c r="A816" t="s">
        <v>1541</v>
      </c>
      <c r="B816" t="s">
        <v>1542</v>
      </c>
      <c r="C816" t="s">
        <v>18</v>
      </c>
      <c r="D816" t="s">
        <v>19</v>
      </c>
      <c r="E816" t="s">
        <v>20</v>
      </c>
      <c r="F816">
        <v>745</v>
      </c>
      <c r="G816">
        <v>513419</v>
      </c>
      <c r="H816">
        <v>2023</v>
      </c>
      <c r="I816">
        <v>11</v>
      </c>
      <c r="J816" t="s">
        <v>714</v>
      </c>
      <c r="K816">
        <v>4</v>
      </c>
      <c r="L816" t="s">
        <v>28</v>
      </c>
      <c r="M816">
        <v>0</v>
      </c>
      <c r="N816" t="b">
        <v>1</v>
      </c>
      <c r="O816" t="b">
        <v>0</v>
      </c>
      <c r="P816">
        <v>513419</v>
      </c>
    </row>
    <row r="817" spans="1:16" x14ac:dyDescent="0.3">
      <c r="A817" t="s">
        <v>1543</v>
      </c>
      <c r="B817" t="s">
        <v>1544</v>
      </c>
      <c r="C817" t="s">
        <v>18</v>
      </c>
      <c r="D817" t="s">
        <v>19</v>
      </c>
      <c r="E817" t="s">
        <v>20</v>
      </c>
      <c r="F817">
        <v>921</v>
      </c>
      <c r="G817">
        <v>514340</v>
      </c>
      <c r="H817">
        <v>2023</v>
      </c>
      <c r="I817">
        <v>11</v>
      </c>
      <c r="J817" t="s">
        <v>714</v>
      </c>
      <c r="K817">
        <v>4</v>
      </c>
      <c r="L817" t="s">
        <v>31</v>
      </c>
      <c r="M817">
        <v>1</v>
      </c>
      <c r="N817" t="b">
        <v>1</v>
      </c>
      <c r="O817" t="b">
        <v>0</v>
      </c>
      <c r="P817">
        <v>514340</v>
      </c>
    </row>
    <row r="818" spans="1:16" x14ac:dyDescent="0.3">
      <c r="A818" t="s">
        <v>1543</v>
      </c>
      <c r="B818" t="s">
        <v>1545</v>
      </c>
      <c r="C818" t="s">
        <v>46</v>
      </c>
      <c r="D818" t="s">
        <v>34</v>
      </c>
      <c r="E818" t="s">
        <v>35</v>
      </c>
      <c r="F818">
        <v>372</v>
      </c>
      <c r="G818">
        <v>513968</v>
      </c>
      <c r="H818">
        <v>2023</v>
      </c>
      <c r="I818">
        <v>11</v>
      </c>
      <c r="J818" t="s">
        <v>714</v>
      </c>
      <c r="K818">
        <v>4</v>
      </c>
      <c r="L818" t="s">
        <v>31</v>
      </c>
      <c r="M818">
        <v>1</v>
      </c>
      <c r="N818" t="b">
        <v>0</v>
      </c>
      <c r="O818" t="b">
        <v>1</v>
      </c>
      <c r="P818">
        <v>513968</v>
      </c>
    </row>
    <row r="819" spans="1:16" x14ac:dyDescent="0.3">
      <c r="A819" t="s">
        <v>1546</v>
      </c>
      <c r="B819" t="s">
        <v>1547</v>
      </c>
      <c r="C819" t="s">
        <v>18</v>
      </c>
      <c r="D819" t="s">
        <v>19</v>
      </c>
      <c r="E819" t="s">
        <v>20</v>
      </c>
      <c r="F819">
        <v>1039</v>
      </c>
      <c r="G819">
        <v>515007</v>
      </c>
      <c r="H819">
        <v>2023</v>
      </c>
      <c r="I819">
        <v>11</v>
      </c>
      <c r="J819" t="s">
        <v>714</v>
      </c>
      <c r="K819">
        <v>4</v>
      </c>
      <c r="L819" t="s">
        <v>38</v>
      </c>
      <c r="M819">
        <v>2</v>
      </c>
      <c r="N819" t="b">
        <v>1</v>
      </c>
      <c r="O819" t="b">
        <v>0</v>
      </c>
      <c r="P819">
        <v>515007</v>
      </c>
    </row>
    <row r="820" spans="1:16" x14ac:dyDescent="0.3">
      <c r="A820" t="s">
        <v>1548</v>
      </c>
      <c r="B820" t="s">
        <v>1549</v>
      </c>
      <c r="C820" t="s">
        <v>18</v>
      </c>
      <c r="D820" t="s">
        <v>19</v>
      </c>
      <c r="E820" t="s">
        <v>20</v>
      </c>
      <c r="F820">
        <v>865</v>
      </c>
      <c r="G820">
        <v>515872</v>
      </c>
      <c r="H820">
        <v>2023</v>
      </c>
      <c r="I820">
        <v>11</v>
      </c>
      <c r="J820" t="s">
        <v>714</v>
      </c>
      <c r="K820">
        <v>4</v>
      </c>
      <c r="L820" t="s">
        <v>41</v>
      </c>
      <c r="M820">
        <v>3</v>
      </c>
      <c r="N820" t="b">
        <v>1</v>
      </c>
      <c r="O820" t="b">
        <v>0</v>
      </c>
      <c r="P820">
        <v>515872</v>
      </c>
    </row>
    <row r="821" spans="1:16" x14ac:dyDescent="0.3">
      <c r="A821" t="s">
        <v>1550</v>
      </c>
      <c r="B821" t="s">
        <v>1551</v>
      </c>
      <c r="C821" t="s">
        <v>88</v>
      </c>
      <c r="D821" t="s">
        <v>56</v>
      </c>
      <c r="E821" t="s">
        <v>35</v>
      </c>
      <c r="F821">
        <v>216</v>
      </c>
      <c r="G821">
        <v>516799</v>
      </c>
      <c r="H821">
        <v>2023</v>
      </c>
      <c r="I821">
        <v>11</v>
      </c>
      <c r="J821" t="s">
        <v>714</v>
      </c>
      <c r="K821">
        <v>4</v>
      </c>
      <c r="L821" t="s">
        <v>44</v>
      </c>
      <c r="M821">
        <v>4</v>
      </c>
      <c r="N821" t="b">
        <v>0</v>
      </c>
      <c r="O821" t="b">
        <v>1</v>
      </c>
      <c r="P821">
        <v>515656</v>
      </c>
    </row>
    <row r="822" spans="1:16" x14ac:dyDescent="0.3">
      <c r="A822" t="s">
        <v>1550</v>
      </c>
      <c r="B822" t="s">
        <v>1552</v>
      </c>
      <c r="C822" t="s">
        <v>18</v>
      </c>
      <c r="D822" t="s">
        <v>19</v>
      </c>
      <c r="E822" t="s">
        <v>20</v>
      </c>
      <c r="F822">
        <v>1143</v>
      </c>
      <c r="G822">
        <v>517015</v>
      </c>
      <c r="H822">
        <v>2023</v>
      </c>
      <c r="I822">
        <v>11</v>
      </c>
      <c r="J822" t="s">
        <v>714</v>
      </c>
      <c r="K822">
        <v>4</v>
      </c>
      <c r="L822" t="s">
        <v>44</v>
      </c>
      <c r="M822">
        <v>4</v>
      </c>
      <c r="N822" t="b">
        <v>1</v>
      </c>
      <c r="O822" t="b">
        <v>0</v>
      </c>
      <c r="P822">
        <v>516799</v>
      </c>
    </row>
    <row r="823" spans="1:16" x14ac:dyDescent="0.3">
      <c r="A823" t="s">
        <v>1553</v>
      </c>
      <c r="B823" t="s">
        <v>1554</v>
      </c>
      <c r="C823" t="s">
        <v>18</v>
      </c>
      <c r="D823" t="s">
        <v>19</v>
      </c>
      <c r="E823" t="s">
        <v>20</v>
      </c>
      <c r="F823">
        <v>1043</v>
      </c>
      <c r="G823">
        <v>517842</v>
      </c>
      <c r="H823">
        <v>2023</v>
      </c>
      <c r="I823">
        <v>11</v>
      </c>
      <c r="J823" t="s">
        <v>714</v>
      </c>
      <c r="K823">
        <v>4</v>
      </c>
      <c r="L823" t="s">
        <v>22</v>
      </c>
      <c r="M823">
        <v>5</v>
      </c>
      <c r="N823" t="b">
        <v>1</v>
      </c>
      <c r="O823" t="b">
        <v>0</v>
      </c>
      <c r="P823">
        <v>517842</v>
      </c>
    </row>
    <row r="824" spans="1:16" x14ac:dyDescent="0.3">
      <c r="A824" t="s">
        <v>1555</v>
      </c>
      <c r="B824" t="s">
        <v>1556</v>
      </c>
      <c r="C824" t="s">
        <v>18</v>
      </c>
      <c r="D824" t="s">
        <v>19</v>
      </c>
      <c r="E824" t="s">
        <v>20</v>
      </c>
      <c r="F824">
        <v>763</v>
      </c>
      <c r="G824">
        <v>518605</v>
      </c>
      <c r="H824">
        <v>2023</v>
      </c>
      <c r="I824">
        <v>11</v>
      </c>
      <c r="J824" t="s">
        <v>714</v>
      </c>
      <c r="K824">
        <v>4</v>
      </c>
      <c r="L824" t="s">
        <v>25</v>
      </c>
      <c r="M824">
        <v>6</v>
      </c>
      <c r="N824" t="b">
        <v>1</v>
      </c>
      <c r="O824" t="b">
        <v>0</v>
      </c>
      <c r="P824">
        <v>518605</v>
      </c>
    </row>
    <row r="825" spans="1:16" x14ac:dyDescent="0.3">
      <c r="A825" t="s">
        <v>1557</v>
      </c>
      <c r="B825" t="s">
        <v>1558</v>
      </c>
      <c r="C825" t="s">
        <v>18</v>
      </c>
      <c r="D825" t="s">
        <v>19</v>
      </c>
      <c r="E825" t="s">
        <v>20</v>
      </c>
      <c r="F825">
        <v>771</v>
      </c>
      <c r="G825">
        <v>519376</v>
      </c>
      <c r="H825">
        <v>2023</v>
      </c>
      <c r="I825">
        <v>11</v>
      </c>
      <c r="J825" t="s">
        <v>714</v>
      </c>
      <c r="K825">
        <v>4</v>
      </c>
      <c r="L825" t="s">
        <v>28</v>
      </c>
      <c r="M825">
        <v>0</v>
      </c>
      <c r="N825" t="b">
        <v>1</v>
      </c>
      <c r="O825" t="b">
        <v>0</v>
      </c>
      <c r="P825">
        <v>519376</v>
      </c>
    </row>
    <row r="826" spans="1:16" x14ac:dyDescent="0.3">
      <c r="A826" t="s">
        <v>1559</v>
      </c>
      <c r="B826" t="s">
        <v>1560</v>
      </c>
      <c r="C826" t="s">
        <v>18</v>
      </c>
      <c r="D826" t="s">
        <v>19</v>
      </c>
      <c r="E826" t="s">
        <v>20</v>
      </c>
      <c r="F826">
        <v>1177</v>
      </c>
      <c r="G826">
        <v>520553</v>
      </c>
      <c r="H826">
        <v>2023</v>
      </c>
      <c r="I826">
        <v>11</v>
      </c>
      <c r="J826" t="s">
        <v>714</v>
      </c>
      <c r="K826">
        <v>4</v>
      </c>
      <c r="L826" t="s">
        <v>31</v>
      </c>
      <c r="M826">
        <v>1</v>
      </c>
      <c r="N826" t="b">
        <v>1</v>
      </c>
      <c r="O826" t="b">
        <v>0</v>
      </c>
      <c r="P826">
        <v>520553</v>
      </c>
    </row>
    <row r="827" spans="1:16" x14ac:dyDescent="0.3">
      <c r="A827" t="s">
        <v>1561</v>
      </c>
      <c r="B827" t="s">
        <v>1562</v>
      </c>
      <c r="C827" t="s">
        <v>18</v>
      </c>
      <c r="D827" t="s">
        <v>19</v>
      </c>
      <c r="E827" t="s">
        <v>20</v>
      </c>
      <c r="F827">
        <v>1065</v>
      </c>
      <c r="G827">
        <v>521618</v>
      </c>
      <c r="H827">
        <v>2023</v>
      </c>
      <c r="I827">
        <v>11</v>
      </c>
      <c r="J827" t="s">
        <v>714</v>
      </c>
      <c r="K827">
        <v>4</v>
      </c>
      <c r="L827" t="s">
        <v>38</v>
      </c>
      <c r="M827">
        <v>2</v>
      </c>
      <c r="N827" t="b">
        <v>1</v>
      </c>
      <c r="O827" t="b">
        <v>0</v>
      </c>
      <c r="P827">
        <v>521618</v>
      </c>
    </row>
    <row r="828" spans="1:16" x14ac:dyDescent="0.3">
      <c r="A828" t="s">
        <v>1563</v>
      </c>
      <c r="B828" t="s">
        <v>1564</v>
      </c>
      <c r="C828" t="s">
        <v>18</v>
      </c>
      <c r="D828" t="s">
        <v>19</v>
      </c>
      <c r="E828" t="s">
        <v>20</v>
      </c>
      <c r="F828">
        <v>865</v>
      </c>
      <c r="G828">
        <v>522483</v>
      </c>
      <c r="H828">
        <v>2023</v>
      </c>
      <c r="I828">
        <v>11</v>
      </c>
      <c r="J828" t="s">
        <v>714</v>
      </c>
      <c r="K828">
        <v>4</v>
      </c>
      <c r="L828" t="s">
        <v>41</v>
      </c>
      <c r="M828">
        <v>3</v>
      </c>
      <c r="N828" t="b">
        <v>1</v>
      </c>
      <c r="O828" t="b">
        <v>0</v>
      </c>
      <c r="P828">
        <v>522483</v>
      </c>
    </row>
    <row r="829" spans="1:16" x14ac:dyDescent="0.3">
      <c r="A829" t="s">
        <v>1565</v>
      </c>
      <c r="B829" t="s">
        <v>1566</v>
      </c>
      <c r="C829" t="s">
        <v>18</v>
      </c>
      <c r="D829" t="s">
        <v>19</v>
      </c>
      <c r="E829" t="s">
        <v>20</v>
      </c>
      <c r="F829">
        <v>1000</v>
      </c>
      <c r="G829">
        <v>523483</v>
      </c>
      <c r="H829">
        <v>2023</v>
      </c>
      <c r="I829">
        <v>11</v>
      </c>
      <c r="J829" t="s">
        <v>714</v>
      </c>
      <c r="K829">
        <v>4</v>
      </c>
      <c r="L829" t="s">
        <v>44</v>
      </c>
      <c r="M829">
        <v>4</v>
      </c>
      <c r="N829" t="b">
        <v>1</v>
      </c>
      <c r="O829" t="b">
        <v>0</v>
      </c>
      <c r="P829">
        <v>523483</v>
      </c>
    </row>
    <row r="830" spans="1:16" x14ac:dyDescent="0.3">
      <c r="A830" t="s">
        <v>1567</v>
      </c>
      <c r="B830" t="s">
        <v>1568</v>
      </c>
      <c r="C830" t="s">
        <v>18</v>
      </c>
      <c r="D830" t="s">
        <v>19</v>
      </c>
      <c r="E830" t="s">
        <v>20</v>
      </c>
      <c r="F830">
        <v>801</v>
      </c>
      <c r="G830">
        <v>524284</v>
      </c>
      <c r="H830">
        <v>2023</v>
      </c>
      <c r="I830">
        <v>11</v>
      </c>
      <c r="J830" t="s">
        <v>714</v>
      </c>
      <c r="K830">
        <v>4</v>
      </c>
      <c r="L830" t="s">
        <v>22</v>
      </c>
      <c r="M830">
        <v>5</v>
      </c>
      <c r="N830" t="b">
        <v>1</v>
      </c>
      <c r="O830" t="b">
        <v>0</v>
      </c>
      <c r="P830">
        <v>524284</v>
      </c>
    </row>
    <row r="831" spans="1:16" x14ac:dyDescent="0.3">
      <c r="A831" t="s">
        <v>1569</v>
      </c>
      <c r="B831" t="s">
        <v>1570</v>
      </c>
      <c r="C831" t="s">
        <v>18</v>
      </c>
      <c r="D831" t="s">
        <v>19</v>
      </c>
      <c r="E831" t="s">
        <v>20</v>
      </c>
      <c r="F831">
        <v>966</v>
      </c>
      <c r="G831">
        <v>525250</v>
      </c>
      <c r="H831">
        <v>2023</v>
      </c>
      <c r="I831">
        <v>11</v>
      </c>
      <c r="J831" t="s">
        <v>714</v>
      </c>
      <c r="K831">
        <v>4</v>
      </c>
      <c r="L831" t="s">
        <v>25</v>
      </c>
      <c r="M831">
        <v>6</v>
      </c>
      <c r="N831" t="b">
        <v>1</v>
      </c>
      <c r="O831" t="b">
        <v>0</v>
      </c>
      <c r="P831">
        <v>525250</v>
      </c>
    </row>
    <row r="832" spans="1:16" x14ac:dyDescent="0.3">
      <c r="A832" t="s">
        <v>1571</v>
      </c>
      <c r="B832" t="s">
        <v>1572</v>
      </c>
      <c r="C832" t="s">
        <v>18</v>
      </c>
      <c r="D832" t="s">
        <v>19</v>
      </c>
      <c r="E832" t="s">
        <v>20</v>
      </c>
      <c r="F832">
        <v>787</v>
      </c>
      <c r="G832">
        <v>526037</v>
      </c>
      <c r="H832">
        <v>2023</v>
      </c>
      <c r="I832">
        <v>11</v>
      </c>
      <c r="J832" t="s">
        <v>714</v>
      </c>
      <c r="K832">
        <v>4</v>
      </c>
      <c r="L832" t="s">
        <v>28</v>
      </c>
      <c r="M832">
        <v>0</v>
      </c>
      <c r="N832" t="b">
        <v>1</v>
      </c>
      <c r="O832" t="b">
        <v>0</v>
      </c>
      <c r="P832">
        <v>526037</v>
      </c>
    </row>
    <row r="833" spans="1:16" x14ac:dyDescent="0.3">
      <c r="A833" t="s">
        <v>1571</v>
      </c>
      <c r="B833" t="s">
        <v>1573</v>
      </c>
      <c r="C833" t="s">
        <v>55</v>
      </c>
      <c r="D833" t="s">
        <v>56</v>
      </c>
      <c r="E833" t="s">
        <v>35</v>
      </c>
      <c r="F833">
        <v>175</v>
      </c>
      <c r="G833">
        <v>525862</v>
      </c>
      <c r="H833">
        <v>2023</v>
      </c>
      <c r="I833">
        <v>11</v>
      </c>
      <c r="J833" t="s">
        <v>714</v>
      </c>
      <c r="K833">
        <v>4</v>
      </c>
      <c r="L833" t="s">
        <v>28</v>
      </c>
      <c r="M833">
        <v>0</v>
      </c>
      <c r="N833" t="b">
        <v>0</v>
      </c>
      <c r="O833" t="b">
        <v>1</v>
      </c>
      <c r="P833">
        <v>525862</v>
      </c>
    </row>
    <row r="834" spans="1:16" x14ac:dyDescent="0.3">
      <c r="A834" t="s">
        <v>1574</v>
      </c>
      <c r="B834" t="s">
        <v>1575</v>
      </c>
      <c r="C834" t="s">
        <v>46</v>
      </c>
      <c r="D834" t="s">
        <v>34</v>
      </c>
      <c r="E834" t="s">
        <v>35</v>
      </c>
      <c r="F834">
        <v>179</v>
      </c>
      <c r="G834">
        <v>526428</v>
      </c>
      <c r="H834">
        <v>2023</v>
      </c>
      <c r="I834">
        <v>11</v>
      </c>
      <c r="J834" t="s">
        <v>714</v>
      </c>
      <c r="K834">
        <v>4</v>
      </c>
      <c r="L834" t="s">
        <v>31</v>
      </c>
      <c r="M834">
        <v>1</v>
      </c>
      <c r="N834" t="b">
        <v>0</v>
      </c>
      <c r="O834" t="b">
        <v>1</v>
      </c>
      <c r="P834">
        <v>525683</v>
      </c>
    </row>
    <row r="835" spans="1:16" x14ac:dyDescent="0.3">
      <c r="A835" t="s">
        <v>1574</v>
      </c>
      <c r="B835" t="s">
        <v>1576</v>
      </c>
      <c r="C835" t="s">
        <v>18</v>
      </c>
      <c r="D835" t="s">
        <v>19</v>
      </c>
      <c r="E835" t="s">
        <v>20</v>
      </c>
      <c r="F835">
        <v>745</v>
      </c>
      <c r="G835">
        <v>526607</v>
      </c>
      <c r="H835">
        <v>2023</v>
      </c>
      <c r="I835">
        <v>11</v>
      </c>
      <c r="J835" t="s">
        <v>714</v>
      </c>
      <c r="K835">
        <v>4</v>
      </c>
      <c r="L835" t="s">
        <v>31</v>
      </c>
      <c r="M835">
        <v>1</v>
      </c>
      <c r="N835" t="b">
        <v>1</v>
      </c>
      <c r="O835" t="b">
        <v>0</v>
      </c>
      <c r="P835">
        <v>526428</v>
      </c>
    </row>
    <row r="836" spans="1:16" x14ac:dyDescent="0.3">
      <c r="A836" t="s">
        <v>1577</v>
      </c>
      <c r="B836" t="s">
        <v>1578</v>
      </c>
      <c r="C836" t="s">
        <v>18</v>
      </c>
      <c r="D836" t="s">
        <v>19</v>
      </c>
      <c r="E836" t="s">
        <v>20</v>
      </c>
      <c r="F836">
        <v>847</v>
      </c>
      <c r="G836">
        <v>527275</v>
      </c>
      <c r="H836">
        <v>2023</v>
      </c>
      <c r="I836">
        <v>11</v>
      </c>
      <c r="J836" t="s">
        <v>714</v>
      </c>
      <c r="K836">
        <v>4</v>
      </c>
      <c r="L836" t="s">
        <v>38</v>
      </c>
      <c r="M836">
        <v>2</v>
      </c>
      <c r="N836" t="b">
        <v>1</v>
      </c>
      <c r="O836" t="b">
        <v>0</v>
      </c>
      <c r="P836">
        <v>527275</v>
      </c>
    </row>
    <row r="837" spans="1:16" x14ac:dyDescent="0.3">
      <c r="A837" t="s">
        <v>1579</v>
      </c>
      <c r="B837" t="s">
        <v>1580</v>
      </c>
      <c r="C837" t="s">
        <v>18</v>
      </c>
      <c r="D837" t="s">
        <v>19</v>
      </c>
      <c r="E837" t="s">
        <v>20</v>
      </c>
      <c r="F837">
        <v>1123</v>
      </c>
      <c r="G837">
        <v>528398</v>
      </c>
      <c r="H837">
        <v>2023</v>
      </c>
      <c r="I837">
        <v>11</v>
      </c>
      <c r="J837" t="s">
        <v>714</v>
      </c>
      <c r="K837">
        <v>4</v>
      </c>
      <c r="L837" t="s">
        <v>41</v>
      </c>
      <c r="M837">
        <v>3</v>
      </c>
      <c r="N837" t="b">
        <v>1</v>
      </c>
      <c r="O837" t="b">
        <v>0</v>
      </c>
      <c r="P837">
        <v>528398</v>
      </c>
    </row>
    <row r="838" spans="1:16" x14ac:dyDescent="0.3">
      <c r="A838" t="s">
        <v>1579</v>
      </c>
      <c r="B838" t="s">
        <v>1581</v>
      </c>
      <c r="C838" t="s">
        <v>88</v>
      </c>
      <c r="D838" t="s">
        <v>56</v>
      </c>
      <c r="E838" t="s">
        <v>35</v>
      </c>
      <c r="F838">
        <v>452</v>
      </c>
      <c r="G838">
        <v>527946</v>
      </c>
      <c r="H838">
        <v>2023</v>
      </c>
      <c r="I838">
        <v>11</v>
      </c>
      <c r="J838" t="s">
        <v>714</v>
      </c>
      <c r="K838">
        <v>4</v>
      </c>
      <c r="L838" t="s">
        <v>41</v>
      </c>
      <c r="M838">
        <v>3</v>
      </c>
      <c r="N838" t="b">
        <v>0</v>
      </c>
      <c r="O838" t="b">
        <v>1</v>
      </c>
      <c r="P838">
        <v>527946</v>
      </c>
    </row>
    <row r="839" spans="1:16" x14ac:dyDescent="0.3">
      <c r="A839" t="s">
        <v>1582</v>
      </c>
      <c r="B839" t="s">
        <v>1583</v>
      </c>
      <c r="C839" t="s">
        <v>18</v>
      </c>
      <c r="D839" t="s">
        <v>19</v>
      </c>
      <c r="E839" t="s">
        <v>20</v>
      </c>
      <c r="F839">
        <v>924</v>
      </c>
      <c r="G839">
        <v>528870</v>
      </c>
      <c r="H839">
        <v>2023</v>
      </c>
      <c r="I839">
        <v>12</v>
      </c>
      <c r="J839" t="s">
        <v>783</v>
      </c>
      <c r="K839">
        <v>4</v>
      </c>
      <c r="L839" t="s">
        <v>44</v>
      </c>
      <c r="M839">
        <v>4</v>
      </c>
      <c r="N839" t="b">
        <v>1</v>
      </c>
      <c r="O839" t="b">
        <v>0</v>
      </c>
      <c r="P839">
        <v>528870</v>
      </c>
    </row>
    <row r="840" spans="1:16" x14ac:dyDescent="0.3">
      <c r="A840" t="s">
        <v>1582</v>
      </c>
      <c r="B840" t="s">
        <v>1584</v>
      </c>
      <c r="C840" t="s">
        <v>46</v>
      </c>
      <c r="D840" t="s">
        <v>34</v>
      </c>
      <c r="E840" t="s">
        <v>35</v>
      </c>
      <c r="F840">
        <v>176</v>
      </c>
      <c r="G840">
        <v>528694</v>
      </c>
      <c r="H840">
        <v>2023</v>
      </c>
      <c r="I840">
        <v>12</v>
      </c>
      <c r="J840" t="s">
        <v>783</v>
      </c>
      <c r="K840">
        <v>4</v>
      </c>
      <c r="L840" t="s">
        <v>44</v>
      </c>
      <c r="M840">
        <v>4</v>
      </c>
      <c r="N840" t="b">
        <v>0</v>
      </c>
      <c r="O840" t="b">
        <v>1</v>
      </c>
      <c r="P840">
        <v>528694</v>
      </c>
    </row>
    <row r="841" spans="1:16" x14ac:dyDescent="0.3">
      <c r="A841" t="s">
        <v>1585</v>
      </c>
      <c r="B841" t="s">
        <v>1586</v>
      </c>
      <c r="C841" t="s">
        <v>18</v>
      </c>
      <c r="D841" t="s">
        <v>19</v>
      </c>
      <c r="E841" t="s">
        <v>20</v>
      </c>
      <c r="F841">
        <v>853</v>
      </c>
      <c r="G841">
        <v>529547</v>
      </c>
      <c r="H841">
        <v>2023</v>
      </c>
      <c r="I841">
        <v>12</v>
      </c>
      <c r="J841" t="s">
        <v>783</v>
      </c>
      <c r="K841">
        <v>4</v>
      </c>
      <c r="L841" t="s">
        <v>22</v>
      </c>
      <c r="M841">
        <v>5</v>
      </c>
      <c r="N841" t="b">
        <v>1</v>
      </c>
      <c r="O841" t="b">
        <v>0</v>
      </c>
      <c r="P841">
        <v>529547</v>
      </c>
    </row>
    <row r="842" spans="1:16" x14ac:dyDescent="0.3">
      <c r="A842" t="s">
        <v>1587</v>
      </c>
      <c r="B842" t="s">
        <v>1588</v>
      </c>
      <c r="C842" t="s">
        <v>18</v>
      </c>
      <c r="D842" t="s">
        <v>19</v>
      </c>
      <c r="E842" t="s">
        <v>20</v>
      </c>
      <c r="F842">
        <v>893</v>
      </c>
      <c r="G842">
        <v>530440</v>
      </c>
      <c r="H842">
        <v>2023</v>
      </c>
      <c r="I842">
        <v>12</v>
      </c>
      <c r="J842" t="s">
        <v>783</v>
      </c>
      <c r="K842">
        <v>4</v>
      </c>
      <c r="L842" t="s">
        <v>25</v>
      </c>
      <c r="M842">
        <v>6</v>
      </c>
      <c r="N842" t="b">
        <v>1</v>
      </c>
      <c r="O842" t="b">
        <v>0</v>
      </c>
      <c r="P842">
        <v>530440</v>
      </c>
    </row>
    <row r="843" spans="1:16" x14ac:dyDescent="0.3">
      <c r="A843" t="s">
        <v>1589</v>
      </c>
      <c r="B843" t="s">
        <v>1590</v>
      </c>
      <c r="C843" t="s">
        <v>18</v>
      </c>
      <c r="D843" t="s">
        <v>19</v>
      </c>
      <c r="E843" t="s">
        <v>20</v>
      </c>
      <c r="F843">
        <v>789</v>
      </c>
      <c r="G843">
        <v>531229</v>
      </c>
      <c r="H843">
        <v>2023</v>
      </c>
      <c r="I843">
        <v>12</v>
      </c>
      <c r="J843" t="s">
        <v>783</v>
      </c>
      <c r="K843">
        <v>4</v>
      </c>
      <c r="L843" t="s">
        <v>28</v>
      </c>
      <c r="M843">
        <v>0</v>
      </c>
      <c r="N843" t="b">
        <v>1</v>
      </c>
      <c r="O843" t="b">
        <v>0</v>
      </c>
      <c r="P843">
        <v>531229</v>
      </c>
    </row>
    <row r="844" spans="1:16" x14ac:dyDescent="0.3">
      <c r="A844" t="s">
        <v>1591</v>
      </c>
      <c r="B844" t="s">
        <v>1592</v>
      </c>
      <c r="C844" t="s">
        <v>18</v>
      </c>
      <c r="D844" t="s">
        <v>19</v>
      </c>
      <c r="E844" t="s">
        <v>20</v>
      </c>
      <c r="F844">
        <v>1197</v>
      </c>
      <c r="G844">
        <v>532426</v>
      </c>
      <c r="H844">
        <v>2023</v>
      </c>
      <c r="I844">
        <v>12</v>
      </c>
      <c r="J844" t="s">
        <v>783</v>
      </c>
      <c r="K844">
        <v>4</v>
      </c>
      <c r="L844" t="s">
        <v>31</v>
      </c>
      <c r="M844">
        <v>1</v>
      </c>
      <c r="N844" t="b">
        <v>1</v>
      </c>
      <c r="O844" t="b">
        <v>0</v>
      </c>
      <c r="P844">
        <v>532426</v>
      </c>
    </row>
    <row r="845" spans="1:16" x14ac:dyDescent="0.3">
      <c r="A845" t="s">
        <v>1593</v>
      </c>
      <c r="B845" t="s">
        <v>1594</v>
      </c>
      <c r="C845" t="s">
        <v>18</v>
      </c>
      <c r="D845" t="s">
        <v>19</v>
      </c>
      <c r="E845" t="s">
        <v>20</v>
      </c>
      <c r="F845">
        <v>805</v>
      </c>
      <c r="G845">
        <v>533231</v>
      </c>
      <c r="H845">
        <v>2023</v>
      </c>
      <c r="I845">
        <v>12</v>
      </c>
      <c r="J845" t="s">
        <v>783</v>
      </c>
      <c r="K845">
        <v>4</v>
      </c>
      <c r="L845" t="s">
        <v>38</v>
      </c>
      <c r="M845">
        <v>2</v>
      </c>
      <c r="N845" t="b">
        <v>1</v>
      </c>
      <c r="O845" t="b">
        <v>0</v>
      </c>
      <c r="P845">
        <v>533231</v>
      </c>
    </row>
    <row r="846" spans="1:16" x14ac:dyDescent="0.3">
      <c r="A846" t="s">
        <v>1593</v>
      </c>
      <c r="B846" t="s">
        <v>1595</v>
      </c>
      <c r="C846" t="s">
        <v>33</v>
      </c>
      <c r="D846" t="s">
        <v>34</v>
      </c>
      <c r="E846" t="s">
        <v>35</v>
      </c>
      <c r="F846">
        <v>404</v>
      </c>
      <c r="G846">
        <v>532827</v>
      </c>
      <c r="H846">
        <v>2023</v>
      </c>
      <c r="I846">
        <v>12</v>
      </c>
      <c r="J846" t="s">
        <v>783</v>
      </c>
      <c r="K846">
        <v>4</v>
      </c>
      <c r="L846" t="s">
        <v>38</v>
      </c>
      <c r="M846">
        <v>2</v>
      </c>
      <c r="N846" t="b">
        <v>0</v>
      </c>
      <c r="O846" t="b">
        <v>1</v>
      </c>
      <c r="P846">
        <v>532827</v>
      </c>
    </row>
    <row r="847" spans="1:16" x14ac:dyDescent="0.3">
      <c r="A847" t="s">
        <v>1596</v>
      </c>
      <c r="B847" t="s">
        <v>1597</v>
      </c>
      <c r="C847" t="s">
        <v>18</v>
      </c>
      <c r="D847" t="s">
        <v>19</v>
      </c>
      <c r="E847" t="s">
        <v>20</v>
      </c>
      <c r="F847">
        <v>1016</v>
      </c>
      <c r="G847">
        <v>533843</v>
      </c>
      <c r="H847">
        <v>2023</v>
      </c>
      <c r="I847">
        <v>12</v>
      </c>
      <c r="J847" t="s">
        <v>783</v>
      </c>
      <c r="K847">
        <v>4</v>
      </c>
      <c r="L847" t="s">
        <v>41</v>
      </c>
      <c r="M847">
        <v>3</v>
      </c>
      <c r="N847" t="b">
        <v>1</v>
      </c>
      <c r="O847" t="b">
        <v>0</v>
      </c>
      <c r="P847">
        <v>533843</v>
      </c>
    </row>
    <row r="848" spans="1:16" x14ac:dyDescent="0.3">
      <c r="A848" t="s">
        <v>1598</v>
      </c>
      <c r="B848" t="s">
        <v>1599</v>
      </c>
      <c r="C848" t="s">
        <v>18</v>
      </c>
      <c r="D848" t="s">
        <v>19</v>
      </c>
      <c r="E848" t="s">
        <v>20</v>
      </c>
      <c r="F848">
        <v>1089</v>
      </c>
      <c r="G848">
        <v>534932</v>
      </c>
      <c r="H848">
        <v>2023</v>
      </c>
      <c r="I848">
        <v>12</v>
      </c>
      <c r="J848" t="s">
        <v>783</v>
      </c>
      <c r="K848">
        <v>4</v>
      </c>
      <c r="L848" t="s">
        <v>44</v>
      </c>
      <c r="M848">
        <v>4</v>
      </c>
      <c r="N848" t="b">
        <v>1</v>
      </c>
      <c r="O848" t="b">
        <v>0</v>
      </c>
      <c r="P848">
        <v>534932</v>
      </c>
    </row>
    <row r="849" spans="1:16" x14ac:dyDescent="0.3">
      <c r="A849" t="s">
        <v>1600</v>
      </c>
      <c r="B849" t="s">
        <v>1601</v>
      </c>
      <c r="C849" t="s">
        <v>18</v>
      </c>
      <c r="D849" t="s">
        <v>19</v>
      </c>
      <c r="E849" t="s">
        <v>20</v>
      </c>
      <c r="F849">
        <v>772</v>
      </c>
      <c r="G849">
        <v>535704</v>
      </c>
      <c r="H849">
        <v>2023</v>
      </c>
      <c r="I849">
        <v>12</v>
      </c>
      <c r="J849" t="s">
        <v>783</v>
      </c>
      <c r="K849">
        <v>4</v>
      </c>
      <c r="L849" t="s">
        <v>22</v>
      </c>
      <c r="M849">
        <v>5</v>
      </c>
      <c r="N849" t="b">
        <v>1</v>
      </c>
      <c r="O849" t="b">
        <v>0</v>
      </c>
      <c r="P849">
        <v>535704</v>
      </c>
    </row>
    <row r="850" spans="1:16" x14ac:dyDescent="0.3">
      <c r="A850" t="s">
        <v>1600</v>
      </c>
      <c r="B850" t="s">
        <v>1602</v>
      </c>
      <c r="C850" t="s">
        <v>88</v>
      </c>
      <c r="D850" t="s">
        <v>56</v>
      </c>
      <c r="E850" t="s">
        <v>35</v>
      </c>
      <c r="F850">
        <v>140</v>
      </c>
      <c r="G850">
        <v>535564</v>
      </c>
      <c r="H850">
        <v>2023</v>
      </c>
      <c r="I850">
        <v>12</v>
      </c>
      <c r="J850" t="s">
        <v>783</v>
      </c>
      <c r="K850">
        <v>4</v>
      </c>
      <c r="L850" t="s">
        <v>22</v>
      </c>
      <c r="M850">
        <v>5</v>
      </c>
      <c r="N850" t="b">
        <v>0</v>
      </c>
      <c r="O850" t="b">
        <v>1</v>
      </c>
      <c r="P850">
        <v>535564</v>
      </c>
    </row>
    <row r="851" spans="1:16" x14ac:dyDescent="0.3">
      <c r="A851" t="s">
        <v>1603</v>
      </c>
      <c r="B851" t="s">
        <v>1604</v>
      </c>
      <c r="C851" t="s">
        <v>18</v>
      </c>
      <c r="D851" t="s">
        <v>19</v>
      </c>
      <c r="E851" t="s">
        <v>20</v>
      </c>
      <c r="F851">
        <v>903</v>
      </c>
      <c r="G851">
        <v>536467</v>
      </c>
      <c r="H851">
        <v>2023</v>
      </c>
      <c r="I851">
        <v>12</v>
      </c>
      <c r="J851" t="s">
        <v>783</v>
      </c>
      <c r="K851">
        <v>4</v>
      </c>
      <c r="L851" t="s">
        <v>25</v>
      </c>
      <c r="M851">
        <v>6</v>
      </c>
      <c r="N851" t="b">
        <v>1</v>
      </c>
      <c r="O851" t="b">
        <v>0</v>
      </c>
      <c r="P851">
        <v>536467</v>
      </c>
    </row>
    <row r="852" spans="1:16" x14ac:dyDescent="0.3">
      <c r="A852" t="s">
        <v>1605</v>
      </c>
      <c r="B852" t="s">
        <v>1606</v>
      </c>
      <c r="C852" t="s">
        <v>18</v>
      </c>
      <c r="D852" t="s">
        <v>19</v>
      </c>
      <c r="E852" t="s">
        <v>20</v>
      </c>
      <c r="F852">
        <v>877</v>
      </c>
      <c r="G852">
        <v>537344</v>
      </c>
      <c r="H852">
        <v>2023</v>
      </c>
      <c r="I852">
        <v>12</v>
      </c>
      <c r="J852" t="s">
        <v>783</v>
      </c>
      <c r="K852">
        <v>4</v>
      </c>
      <c r="L852" t="s">
        <v>28</v>
      </c>
      <c r="M852">
        <v>0</v>
      </c>
      <c r="N852" t="b">
        <v>1</v>
      </c>
      <c r="O852" t="b">
        <v>0</v>
      </c>
      <c r="P852">
        <v>537344</v>
      </c>
    </row>
    <row r="853" spans="1:16" x14ac:dyDescent="0.3">
      <c r="A853" t="s">
        <v>1607</v>
      </c>
      <c r="B853" t="s">
        <v>1608</v>
      </c>
      <c r="C853" t="s">
        <v>18</v>
      </c>
      <c r="D853" t="s">
        <v>19</v>
      </c>
      <c r="E853" t="s">
        <v>20</v>
      </c>
      <c r="F853">
        <v>783</v>
      </c>
      <c r="G853">
        <v>538127</v>
      </c>
      <c r="H853">
        <v>2023</v>
      </c>
      <c r="I853">
        <v>12</v>
      </c>
      <c r="J853" t="s">
        <v>783</v>
      </c>
      <c r="K853">
        <v>4</v>
      </c>
      <c r="L853" t="s">
        <v>31</v>
      </c>
      <c r="M853">
        <v>1</v>
      </c>
      <c r="N853" t="b">
        <v>1</v>
      </c>
      <c r="O853" t="b">
        <v>0</v>
      </c>
      <c r="P853">
        <v>538127</v>
      </c>
    </row>
    <row r="854" spans="1:16" x14ac:dyDescent="0.3">
      <c r="A854" t="s">
        <v>1609</v>
      </c>
      <c r="B854" t="s">
        <v>1610</v>
      </c>
      <c r="C854" t="s">
        <v>18</v>
      </c>
      <c r="D854" t="s">
        <v>19</v>
      </c>
      <c r="E854" t="s">
        <v>20</v>
      </c>
      <c r="F854">
        <v>950</v>
      </c>
      <c r="G854">
        <v>539077</v>
      </c>
      <c r="H854">
        <v>2023</v>
      </c>
      <c r="I854">
        <v>12</v>
      </c>
      <c r="J854" t="s">
        <v>783</v>
      </c>
      <c r="K854">
        <v>4</v>
      </c>
      <c r="L854" t="s">
        <v>38</v>
      </c>
      <c r="M854">
        <v>2</v>
      </c>
      <c r="N854" t="b">
        <v>1</v>
      </c>
      <c r="O854" t="b">
        <v>0</v>
      </c>
      <c r="P854">
        <v>539077</v>
      </c>
    </row>
    <row r="855" spans="1:16" x14ac:dyDescent="0.3">
      <c r="A855" t="s">
        <v>1611</v>
      </c>
      <c r="B855" t="s">
        <v>1612</v>
      </c>
      <c r="C855" t="s">
        <v>18</v>
      </c>
      <c r="D855" t="s">
        <v>19</v>
      </c>
      <c r="E855" t="s">
        <v>20</v>
      </c>
      <c r="F855">
        <v>1158</v>
      </c>
      <c r="G855">
        <v>540235</v>
      </c>
      <c r="H855">
        <v>2023</v>
      </c>
      <c r="I855">
        <v>12</v>
      </c>
      <c r="J855" t="s">
        <v>783</v>
      </c>
      <c r="K855">
        <v>4</v>
      </c>
      <c r="L855" t="s">
        <v>41</v>
      </c>
      <c r="M855">
        <v>3</v>
      </c>
      <c r="N855" t="b">
        <v>1</v>
      </c>
      <c r="O855" t="b">
        <v>0</v>
      </c>
      <c r="P855">
        <v>540235</v>
      </c>
    </row>
    <row r="856" spans="1:16" x14ac:dyDescent="0.3">
      <c r="A856" t="s">
        <v>1613</v>
      </c>
      <c r="B856" t="s">
        <v>1614</v>
      </c>
      <c r="C856" t="s">
        <v>18</v>
      </c>
      <c r="D856" t="s">
        <v>19</v>
      </c>
      <c r="E856" t="s">
        <v>20</v>
      </c>
      <c r="F856">
        <v>1087</v>
      </c>
      <c r="G856">
        <v>541322</v>
      </c>
      <c r="H856">
        <v>2023</v>
      </c>
      <c r="I856">
        <v>12</v>
      </c>
      <c r="J856" t="s">
        <v>783</v>
      </c>
      <c r="K856">
        <v>4</v>
      </c>
      <c r="L856" t="s">
        <v>44</v>
      </c>
      <c r="M856">
        <v>4</v>
      </c>
      <c r="N856" t="b">
        <v>1</v>
      </c>
      <c r="O856" t="b">
        <v>0</v>
      </c>
      <c r="P856">
        <v>541322</v>
      </c>
    </row>
    <row r="857" spans="1:16" x14ac:dyDescent="0.3">
      <c r="A857" t="s">
        <v>1615</v>
      </c>
      <c r="B857" t="s">
        <v>1616</v>
      </c>
      <c r="C857" t="s">
        <v>18</v>
      </c>
      <c r="D857" t="s">
        <v>19</v>
      </c>
      <c r="E857" t="s">
        <v>20</v>
      </c>
      <c r="F857">
        <v>721</v>
      </c>
      <c r="G857">
        <v>542043</v>
      </c>
      <c r="H857">
        <v>2023</v>
      </c>
      <c r="I857">
        <v>12</v>
      </c>
      <c r="J857" t="s">
        <v>783</v>
      </c>
      <c r="K857">
        <v>4</v>
      </c>
      <c r="L857" t="s">
        <v>22</v>
      </c>
      <c r="M857">
        <v>5</v>
      </c>
      <c r="N857" t="b">
        <v>1</v>
      </c>
      <c r="O857" t="b">
        <v>0</v>
      </c>
      <c r="P857">
        <v>542043</v>
      </c>
    </row>
    <row r="858" spans="1:16" x14ac:dyDescent="0.3">
      <c r="A858" t="s">
        <v>1617</v>
      </c>
      <c r="B858" t="s">
        <v>1618</v>
      </c>
      <c r="C858" t="s">
        <v>88</v>
      </c>
      <c r="D858" t="s">
        <v>56</v>
      </c>
      <c r="E858" t="s">
        <v>35</v>
      </c>
      <c r="F858">
        <v>287</v>
      </c>
      <c r="G858">
        <v>542458</v>
      </c>
      <c r="H858">
        <v>2023</v>
      </c>
      <c r="I858">
        <v>12</v>
      </c>
      <c r="J858" t="s">
        <v>783</v>
      </c>
      <c r="K858">
        <v>4</v>
      </c>
      <c r="L858" t="s">
        <v>25</v>
      </c>
      <c r="M858">
        <v>6</v>
      </c>
      <c r="N858" t="b">
        <v>0</v>
      </c>
      <c r="O858" t="b">
        <v>1</v>
      </c>
      <c r="P858">
        <v>541756</v>
      </c>
    </row>
    <row r="859" spans="1:16" x14ac:dyDescent="0.3">
      <c r="A859" t="s">
        <v>1617</v>
      </c>
      <c r="B859" t="s">
        <v>1619</v>
      </c>
      <c r="C859" t="s">
        <v>18</v>
      </c>
      <c r="D859" t="s">
        <v>19</v>
      </c>
      <c r="E859" t="s">
        <v>20</v>
      </c>
      <c r="F859">
        <v>702</v>
      </c>
      <c r="G859">
        <v>542745</v>
      </c>
      <c r="H859">
        <v>2023</v>
      </c>
      <c r="I859">
        <v>12</v>
      </c>
      <c r="J859" t="s">
        <v>783</v>
      </c>
      <c r="K859">
        <v>4</v>
      </c>
      <c r="L859" t="s">
        <v>25</v>
      </c>
      <c r="M859">
        <v>6</v>
      </c>
      <c r="N859" t="b">
        <v>1</v>
      </c>
      <c r="O859" t="b">
        <v>0</v>
      </c>
      <c r="P859">
        <v>542458</v>
      </c>
    </row>
    <row r="860" spans="1:16" x14ac:dyDescent="0.3">
      <c r="A860" t="s">
        <v>1620</v>
      </c>
      <c r="B860" t="s">
        <v>1621</v>
      </c>
      <c r="C860" t="s">
        <v>18</v>
      </c>
      <c r="D860" t="s">
        <v>19</v>
      </c>
      <c r="E860" t="s">
        <v>20</v>
      </c>
      <c r="F860">
        <v>713</v>
      </c>
      <c r="G860">
        <v>543171</v>
      </c>
      <c r="H860">
        <v>2023</v>
      </c>
      <c r="I860">
        <v>12</v>
      </c>
      <c r="J860" t="s">
        <v>783</v>
      </c>
      <c r="K860">
        <v>4</v>
      </c>
      <c r="L860" t="s">
        <v>28</v>
      </c>
      <c r="M860">
        <v>0</v>
      </c>
      <c r="N860" t="b">
        <v>1</v>
      </c>
      <c r="O860" t="b">
        <v>0</v>
      </c>
      <c r="P860">
        <v>543171</v>
      </c>
    </row>
    <row r="861" spans="1:16" x14ac:dyDescent="0.3">
      <c r="A861" t="s">
        <v>1620</v>
      </c>
      <c r="B861" t="s">
        <v>1622</v>
      </c>
      <c r="C861" t="s">
        <v>46</v>
      </c>
      <c r="D861" t="s">
        <v>34</v>
      </c>
      <c r="E861" t="s">
        <v>35</v>
      </c>
      <c r="F861">
        <v>111</v>
      </c>
      <c r="G861">
        <v>543060</v>
      </c>
      <c r="H861">
        <v>2023</v>
      </c>
      <c r="I861">
        <v>12</v>
      </c>
      <c r="J861" t="s">
        <v>783</v>
      </c>
      <c r="K861">
        <v>4</v>
      </c>
      <c r="L861" t="s">
        <v>28</v>
      </c>
      <c r="M861">
        <v>0</v>
      </c>
      <c r="N861" t="b">
        <v>0</v>
      </c>
      <c r="O861" t="b">
        <v>1</v>
      </c>
      <c r="P861">
        <v>543060</v>
      </c>
    </row>
    <row r="862" spans="1:16" x14ac:dyDescent="0.3">
      <c r="A862" t="s">
        <v>1623</v>
      </c>
      <c r="B862" t="s">
        <v>1624</v>
      </c>
      <c r="C862" t="s">
        <v>18</v>
      </c>
      <c r="D862" t="s">
        <v>19</v>
      </c>
      <c r="E862" t="s">
        <v>20</v>
      </c>
      <c r="F862">
        <v>1096</v>
      </c>
      <c r="G862">
        <v>544156</v>
      </c>
      <c r="H862">
        <v>2023</v>
      </c>
      <c r="I862">
        <v>12</v>
      </c>
      <c r="J862" t="s">
        <v>783</v>
      </c>
      <c r="K862">
        <v>4</v>
      </c>
      <c r="L862" t="s">
        <v>31</v>
      </c>
      <c r="M862">
        <v>1</v>
      </c>
      <c r="N862" t="b">
        <v>1</v>
      </c>
      <c r="O862" t="b">
        <v>0</v>
      </c>
      <c r="P862">
        <v>544156</v>
      </c>
    </row>
    <row r="863" spans="1:16" x14ac:dyDescent="0.3">
      <c r="A863" t="s">
        <v>1625</v>
      </c>
      <c r="B863" t="s">
        <v>1626</v>
      </c>
      <c r="C863" t="s">
        <v>18</v>
      </c>
      <c r="D863" t="s">
        <v>19</v>
      </c>
      <c r="E863" t="s">
        <v>20</v>
      </c>
      <c r="F863">
        <v>942</v>
      </c>
      <c r="G863">
        <v>545098</v>
      </c>
      <c r="H863">
        <v>2023</v>
      </c>
      <c r="I863">
        <v>12</v>
      </c>
      <c r="J863" t="s">
        <v>783</v>
      </c>
      <c r="K863">
        <v>4</v>
      </c>
      <c r="L863" t="s">
        <v>38</v>
      </c>
      <c r="M863">
        <v>2</v>
      </c>
      <c r="N863" t="b">
        <v>1</v>
      </c>
      <c r="O863" t="b">
        <v>0</v>
      </c>
      <c r="P863">
        <v>545098</v>
      </c>
    </row>
    <row r="864" spans="1:16" x14ac:dyDescent="0.3">
      <c r="A864" t="s">
        <v>1627</v>
      </c>
      <c r="B864" t="s">
        <v>1628</v>
      </c>
      <c r="C864" t="s">
        <v>18</v>
      </c>
      <c r="D864" t="s">
        <v>19</v>
      </c>
      <c r="E864" t="s">
        <v>20</v>
      </c>
      <c r="F864">
        <v>754</v>
      </c>
      <c r="G864">
        <v>545852</v>
      </c>
      <c r="H864">
        <v>2023</v>
      </c>
      <c r="I864">
        <v>12</v>
      </c>
      <c r="J864" t="s">
        <v>783</v>
      </c>
      <c r="K864">
        <v>4</v>
      </c>
      <c r="L864" t="s">
        <v>41</v>
      </c>
      <c r="M864">
        <v>3</v>
      </c>
      <c r="N864" t="b">
        <v>1</v>
      </c>
      <c r="O864" t="b">
        <v>0</v>
      </c>
      <c r="P864">
        <v>545852</v>
      </c>
    </row>
    <row r="865" spans="1:16" x14ac:dyDescent="0.3">
      <c r="A865" t="s">
        <v>1629</v>
      </c>
      <c r="B865" t="s">
        <v>1630</v>
      </c>
      <c r="C865" t="s">
        <v>18</v>
      </c>
      <c r="D865" t="s">
        <v>19</v>
      </c>
      <c r="E865" t="s">
        <v>20</v>
      </c>
      <c r="F865">
        <v>872</v>
      </c>
      <c r="G865">
        <v>546724</v>
      </c>
      <c r="H865">
        <v>2023</v>
      </c>
      <c r="I865">
        <v>12</v>
      </c>
      <c r="J865" t="s">
        <v>783</v>
      </c>
      <c r="K865">
        <v>4</v>
      </c>
      <c r="L865" t="s">
        <v>44</v>
      </c>
      <c r="M865">
        <v>4</v>
      </c>
      <c r="N865" t="b">
        <v>1</v>
      </c>
      <c r="O865" t="b">
        <v>0</v>
      </c>
      <c r="P865">
        <v>546724</v>
      </c>
    </row>
    <row r="866" spans="1:16" x14ac:dyDescent="0.3">
      <c r="A866" t="s">
        <v>1629</v>
      </c>
      <c r="B866" t="s">
        <v>1631</v>
      </c>
      <c r="C866" t="s">
        <v>137</v>
      </c>
      <c r="D866" t="s">
        <v>34</v>
      </c>
      <c r="E866" t="s">
        <v>35</v>
      </c>
      <c r="F866">
        <v>218</v>
      </c>
      <c r="G866">
        <v>546506</v>
      </c>
      <c r="H866">
        <v>2023</v>
      </c>
      <c r="I866">
        <v>12</v>
      </c>
      <c r="J866" t="s">
        <v>783</v>
      </c>
      <c r="K866">
        <v>4</v>
      </c>
      <c r="L866" t="s">
        <v>44</v>
      </c>
      <c r="M866">
        <v>4</v>
      </c>
      <c r="N866" t="b">
        <v>0</v>
      </c>
      <c r="O866" t="b">
        <v>1</v>
      </c>
      <c r="P866">
        <v>546506</v>
      </c>
    </row>
    <row r="867" spans="1:16" x14ac:dyDescent="0.3">
      <c r="A867" t="s">
        <v>1632</v>
      </c>
      <c r="B867" t="s">
        <v>1633</v>
      </c>
      <c r="C867" t="s">
        <v>18</v>
      </c>
      <c r="D867" t="s">
        <v>19</v>
      </c>
      <c r="E867" t="s">
        <v>20</v>
      </c>
      <c r="F867">
        <v>882</v>
      </c>
      <c r="G867">
        <v>547388</v>
      </c>
      <c r="H867">
        <v>2023</v>
      </c>
      <c r="I867">
        <v>12</v>
      </c>
      <c r="J867" t="s">
        <v>783</v>
      </c>
      <c r="K867">
        <v>4</v>
      </c>
      <c r="L867" t="s">
        <v>22</v>
      </c>
      <c r="M867">
        <v>5</v>
      </c>
      <c r="N867" t="b">
        <v>1</v>
      </c>
      <c r="O867" t="b">
        <v>0</v>
      </c>
      <c r="P867">
        <v>547388</v>
      </c>
    </row>
    <row r="868" spans="1:16" x14ac:dyDescent="0.3">
      <c r="A868" t="s">
        <v>1632</v>
      </c>
      <c r="B868" t="s">
        <v>1634</v>
      </c>
      <c r="C868" t="s">
        <v>88</v>
      </c>
      <c r="D868" t="s">
        <v>56</v>
      </c>
      <c r="E868" t="s">
        <v>35</v>
      </c>
      <c r="F868">
        <v>399</v>
      </c>
      <c r="G868">
        <v>546989</v>
      </c>
      <c r="H868">
        <v>2023</v>
      </c>
      <c r="I868">
        <v>12</v>
      </c>
      <c r="J868" t="s">
        <v>783</v>
      </c>
      <c r="K868">
        <v>4</v>
      </c>
      <c r="L868" t="s">
        <v>22</v>
      </c>
      <c r="M868">
        <v>5</v>
      </c>
      <c r="N868" t="b">
        <v>0</v>
      </c>
      <c r="O868" t="b">
        <v>1</v>
      </c>
      <c r="P868">
        <v>546989</v>
      </c>
    </row>
    <row r="869" spans="1:16" x14ac:dyDescent="0.3">
      <c r="A869" t="s">
        <v>1635</v>
      </c>
      <c r="B869" t="s">
        <v>1636</v>
      </c>
      <c r="C869" t="s">
        <v>18</v>
      </c>
      <c r="D869" t="s">
        <v>19</v>
      </c>
      <c r="E869" t="s">
        <v>20</v>
      </c>
      <c r="F869">
        <v>1153</v>
      </c>
      <c r="G869">
        <v>548142</v>
      </c>
      <c r="H869">
        <v>2023</v>
      </c>
      <c r="I869">
        <v>12</v>
      </c>
      <c r="J869" t="s">
        <v>783</v>
      </c>
      <c r="K869">
        <v>4</v>
      </c>
      <c r="L869" t="s">
        <v>25</v>
      </c>
      <c r="M869">
        <v>6</v>
      </c>
      <c r="N869" t="b">
        <v>1</v>
      </c>
      <c r="O869" t="b">
        <v>0</v>
      </c>
      <c r="P869">
        <v>548142</v>
      </c>
    </row>
    <row r="870" spans="1:16" x14ac:dyDescent="0.3">
      <c r="A870" t="s">
        <v>1637</v>
      </c>
      <c r="B870" t="s">
        <v>1638</v>
      </c>
      <c r="C870" t="s">
        <v>18</v>
      </c>
      <c r="D870" t="s">
        <v>19</v>
      </c>
      <c r="E870" t="s">
        <v>20</v>
      </c>
      <c r="F870">
        <v>849</v>
      </c>
      <c r="G870">
        <v>548991</v>
      </c>
      <c r="H870">
        <v>2023</v>
      </c>
      <c r="I870">
        <v>12</v>
      </c>
      <c r="J870" t="s">
        <v>783</v>
      </c>
      <c r="K870">
        <v>4</v>
      </c>
      <c r="L870" t="s">
        <v>28</v>
      </c>
      <c r="M870">
        <v>0</v>
      </c>
      <c r="N870" t="b">
        <v>1</v>
      </c>
      <c r="O870" t="b">
        <v>0</v>
      </c>
      <c r="P870">
        <v>548991</v>
      </c>
    </row>
    <row r="871" spans="1:16" x14ac:dyDescent="0.3">
      <c r="A871" t="s">
        <v>1639</v>
      </c>
      <c r="B871" t="s">
        <v>1640</v>
      </c>
      <c r="C871" t="s">
        <v>18</v>
      </c>
      <c r="D871" t="s">
        <v>19</v>
      </c>
      <c r="E871" t="s">
        <v>20</v>
      </c>
      <c r="F871">
        <v>1011</v>
      </c>
      <c r="G871">
        <v>550002</v>
      </c>
      <c r="H871">
        <v>2023</v>
      </c>
      <c r="I871">
        <v>12</v>
      </c>
      <c r="J871" t="s">
        <v>783</v>
      </c>
      <c r="K871">
        <v>4</v>
      </c>
      <c r="L871" t="s">
        <v>31</v>
      </c>
      <c r="M871">
        <v>1</v>
      </c>
      <c r="N871" t="b">
        <v>1</v>
      </c>
      <c r="O871" t="b">
        <v>0</v>
      </c>
      <c r="P871">
        <v>550002</v>
      </c>
    </row>
    <row r="872" spans="1:16" x14ac:dyDescent="0.3">
      <c r="A872" t="s">
        <v>1641</v>
      </c>
      <c r="B872" t="s">
        <v>1642</v>
      </c>
      <c r="C872" t="s">
        <v>18</v>
      </c>
      <c r="D872" t="s">
        <v>19</v>
      </c>
      <c r="E872" t="s">
        <v>20</v>
      </c>
      <c r="F872">
        <v>830</v>
      </c>
      <c r="G872">
        <v>550832</v>
      </c>
      <c r="H872">
        <v>2023</v>
      </c>
      <c r="I872">
        <v>12</v>
      </c>
      <c r="J872" t="s">
        <v>783</v>
      </c>
      <c r="K872">
        <v>4</v>
      </c>
      <c r="L872" t="s">
        <v>38</v>
      </c>
      <c r="M872">
        <v>2</v>
      </c>
      <c r="N872" t="b">
        <v>1</v>
      </c>
      <c r="O872" t="b">
        <v>0</v>
      </c>
      <c r="P872">
        <v>550832</v>
      </c>
    </row>
    <row r="873" spans="1:16" x14ac:dyDescent="0.3">
      <c r="A873" t="s">
        <v>1641</v>
      </c>
      <c r="B873" t="s">
        <v>1643</v>
      </c>
      <c r="C873" t="s">
        <v>33</v>
      </c>
      <c r="D873" t="s">
        <v>34</v>
      </c>
      <c r="E873" t="s">
        <v>35</v>
      </c>
      <c r="F873">
        <v>342</v>
      </c>
      <c r="G873">
        <v>550490</v>
      </c>
      <c r="H873">
        <v>2023</v>
      </c>
      <c r="I873">
        <v>12</v>
      </c>
      <c r="J873" t="s">
        <v>783</v>
      </c>
      <c r="K873">
        <v>4</v>
      </c>
      <c r="L873" t="s">
        <v>38</v>
      </c>
      <c r="M873">
        <v>2</v>
      </c>
      <c r="N873" t="b">
        <v>0</v>
      </c>
      <c r="O873" t="b">
        <v>1</v>
      </c>
      <c r="P873">
        <v>550490</v>
      </c>
    </row>
    <row r="874" spans="1:16" x14ac:dyDescent="0.3">
      <c r="A874" t="s">
        <v>1644</v>
      </c>
      <c r="B874" t="s">
        <v>1645</v>
      </c>
      <c r="C874" t="s">
        <v>55</v>
      </c>
      <c r="D874" t="s">
        <v>56</v>
      </c>
      <c r="E874" t="s">
        <v>35</v>
      </c>
      <c r="F874">
        <v>306</v>
      </c>
      <c r="G874">
        <v>551328</v>
      </c>
      <c r="H874">
        <v>2023</v>
      </c>
      <c r="I874">
        <v>12</v>
      </c>
      <c r="J874" t="s">
        <v>783</v>
      </c>
      <c r="K874">
        <v>4</v>
      </c>
      <c r="L874" t="s">
        <v>41</v>
      </c>
      <c r="M874">
        <v>3</v>
      </c>
      <c r="N874" t="b">
        <v>0</v>
      </c>
      <c r="O874" t="b">
        <v>1</v>
      </c>
      <c r="P874">
        <v>550184</v>
      </c>
    </row>
    <row r="875" spans="1:16" x14ac:dyDescent="0.3">
      <c r="A875" t="s">
        <v>1644</v>
      </c>
      <c r="B875" t="s">
        <v>1646</v>
      </c>
      <c r="C875" t="s">
        <v>18</v>
      </c>
      <c r="D875" t="s">
        <v>19</v>
      </c>
      <c r="E875" t="s">
        <v>20</v>
      </c>
      <c r="F875">
        <v>1144</v>
      </c>
      <c r="G875">
        <v>551634</v>
      </c>
      <c r="H875">
        <v>2023</v>
      </c>
      <c r="I875">
        <v>12</v>
      </c>
      <c r="J875" t="s">
        <v>783</v>
      </c>
      <c r="K875">
        <v>4</v>
      </c>
      <c r="L875" t="s">
        <v>41</v>
      </c>
      <c r="M875">
        <v>3</v>
      </c>
      <c r="N875" t="b">
        <v>1</v>
      </c>
      <c r="O875" t="b">
        <v>0</v>
      </c>
      <c r="P875">
        <v>551328</v>
      </c>
    </row>
    <row r="876" spans="1:16" x14ac:dyDescent="0.3">
      <c r="A876" t="s">
        <v>1647</v>
      </c>
      <c r="B876" t="s">
        <v>1648</v>
      </c>
      <c r="C876" t="s">
        <v>18</v>
      </c>
      <c r="D876" t="s">
        <v>19</v>
      </c>
      <c r="E876" t="s">
        <v>20</v>
      </c>
      <c r="F876">
        <v>1090</v>
      </c>
      <c r="G876">
        <v>552418</v>
      </c>
      <c r="H876">
        <v>2023</v>
      </c>
      <c r="I876">
        <v>12</v>
      </c>
      <c r="J876" t="s">
        <v>783</v>
      </c>
      <c r="K876">
        <v>4</v>
      </c>
      <c r="L876" t="s">
        <v>44</v>
      </c>
      <c r="M876">
        <v>4</v>
      </c>
      <c r="N876" t="b">
        <v>1</v>
      </c>
      <c r="O876" t="b">
        <v>0</v>
      </c>
      <c r="P876">
        <v>552418</v>
      </c>
    </row>
    <row r="877" spans="1:16" x14ac:dyDescent="0.3">
      <c r="A877" t="s">
        <v>1649</v>
      </c>
      <c r="B877" t="s">
        <v>1650</v>
      </c>
      <c r="C877" t="s">
        <v>18</v>
      </c>
      <c r="D877" t="s">
        <v>19</v>
      </c>
      <c r="E877" t="s">
        <v>20</v>
      </c>
      <c r="F877">
        <v>1049</v>
      </c>
      <c r="G877">
        <v>553467</v>
      </c>
      <c r="H877">
        <v>2023</v>
      </c>
      <c r="I877">
        <v>12</v>
      </c>
      <c r="J877" t="s">
        <v>783</v>
      </c>
      <c r="K877">
        <v>4</v>
      </c>
      <c r="L877" t="s">
        <v>22</v>
      </c>
      <c r="M877">
        <v>5</v>
      </c>
      <c r="N877" t="b">
        <v>1</v>
      </c>
      <c r="O877" t="b">
        <v>0</v>
      </c>
      <c r="P877">
        <v>553467</v>
      </c>
    </row>
    <row r="878" spans="1:16" x14ac:dyDescent="0.3">
      <c r="A878" t="s">
        <v>1651</v>
      </c>
      <c r="B878" t="s">
        <v>1652</v>
      </c>
      <c r="C878" t="s">
        <v>18</v>
      </c>
      <c r="D878" t="s">
        <v>19</v>
      </c>
      <c r="E878" t="s">
        <v>20</v>
      </c>
      <c r="F878">
        <v>1141</v>
      </c>
      <c r="G878">
        <v>554608</v>
      </c>
      <c r="H878">
        <v>2023</v>
      </c>
      <c r="I878">
        <v>12</v>
      </c>
      <c r="J878" t="s">
        <v>783</v>
      </c>
      <c r="K878">
        <v>4</v>
      </c>
      <c r="L878" t="s">
        <v>25</v>
      </c>
      <c r="M878">
        <v>6</v>
      </c>
      <c r="N878" t="b">
        <v>1</v>
      </c>
      <c r="O878" t="b">
        <v>0</v>
      </c>
      <c r="P878">
        <v>554608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A66A-369F-4EC3-BE73-00925066E4E1}">
  <dimension ref="A1:K54"/>
  <sheetViews>
    <sheetView tabSelected="1" topLeftCell="A34" zoomScaleNormal="100" workbookViewId="0">
      <selection activeCell="E58" sqref="E58"/>
    </sheetView>
  </sheetViews>
  <sheetFormatPr defaultRowHeight="14.4" x14ac:dyDescent="0.3"/>
  <cols>
    <col min="1" max="1" width="17.77734375" customWidth="1"/>
    <col min="3" max="3" width="10.109375" bestFit="1" customWidth="1"/>
  </cols>
  <sheetData>
    <row r="1" spans="1:11" x14ac:dyDescent="0.3">
      <c r="A1" s="11" t="s">
        <v>1947</v>
      </c>
      <c r="B1" s="11"/>
      <c r="C1" s="11"/>
      <c r="D1" s="11"/>
      <c r="E1" s="11"/>
      <c r="F1" s="11"/>
      <c r="G1" s="11"/>
      <c r="H1" s="11"/>
      <c r="K1" s="2"/>
    </row>
    <row r="2" spans="1:11" x14ac:dyDescent="0.3">
      <c r="A2" t="s">
        <v>1907</v>
      </c>
      <c r="B2" s="5">
        <f>SUMIF('Основной счет'!E:E, "Credit", 'Основной счет'!F:F)</f>
        <v>582807</v>
      </c>
    </row>
    <row r="3" spans="1:11" x14ac:dyDescent="0.3">
      <c r="A3" t="s">
        <v>1879</v>
      </c>
      <c r="B3" s="5">
        <f>SUMIF('Основной счет'!E:E, "Debit", 'Основной счет'!F:F)</f>
        <v>43199</v>
      </c>
      <c r="C3" s="1"/>
    </row>
    <row r="4" spans="1:11" x14ac:dyDescent="0.3">
      <c r="A4" t="s">
        <v>1908</v>
      </c>
      <c r="B4" s="5">
        <f>B2-B3</f>
        <v>539608</v>
      </c>
    </row>
    <row r="5" spans="1:11" x14ac:dyDescent="0.3">
      <c r="A5" t="s">
        <v>1981</v>
      </c>
      <c r="B5" s="5">
        <f>COUNTIF('Основной счет'!E:E, "Credit")</f>
        <v>730</v>
      </c>
      <c r="C5" s="1"/>
    </row>
    <row r="6" spans="1:11" x14ac:dyDescent="0.3">
      <c r="A6" t="s">
        <v>1982</v>
      </c>
      <c r="B6" s="5">
        <f>COUNTIF('Основной счет'!E:E, "Debit")</f>
        <v>147</v>
      </c>
    </row>
    <row r="7" spans="1:11" x14ac:dyDescent="0.3">
      <c r="A7" t="s">
        <v>1983</v>
      </c>
      <c r="B7" s="5">
        <f>IFERROR(B2/B5, 0)</f>
        <v>798.36575342465756</v>
      </c>
      <c r="C7" s="1"/>
    </row>
    <row r="8" spans="1:11" x14ac:dyDescent="0.3">
      <c r="A8" t="s">
        <v>1984</v>
      </c>
      <c r="B8" s="5">
        <f>IFERROR(B3/B6, 0)</f>
        <v>293.8707482993197</v>
      </c>
      <c r="C8" s="3"/>
    </row>
    <row r="9" spans="1:11" x14ac:dyDescent="0.3">
      <c r="A9" s="11" t="s">
        <v>1985</v>
      </c>
      <c r="B9" s="11"/>
      <c r="C9" s="11"/>
      <c r="D9" s="11"/>
      <c r="E9" s="11"/>
      <c r="F9" s="11"/>
      <c r="G9" s="11"/>
      <c r="H9" s="11"/>
    </row>
    <row r="10" spans="1:11" s="14" customFormat="1" x14ac:dyDescent="0.3">
      <c r="A10" s="15" t="s">
        <v>1986</v>
      </c>
      <c r="B10" s="15" t="s">
        <v>1987</v>
      </c>
      <c r="C10" s="15" t="s">
        <v>1988</v>
      </c>
    </row>
    <row r="11" spans="1:11" x14ac:dyDescent="0.3">
      <c r="A11" t="s">
        <v>56</v>
      </c>
      <c r="B11" s="5">
        <f>SUMIFS('Основной счет'!F:F, 'Основной счет'!D:D, "COGS", 'Основной счет'!E:E, "Debit")</f>
        <v>16991</v>
      </c>
      <c r="C11" s="7">
        <f>IFERROR(B11/$B$15, 0)</f>
        <v>0.39331928979837494</v>
      </c>
    </row>
    <row r="12" spans="1:11" x14ac:dyDescent="0.3">
      <c r="A12" s="14" t="s">
        <v>1910</v>
      </c>
      <c r="B12" s="5">
        <f>SUMIFS('Основной счет'!F:F, 'Основной счет'!C:C, "Rent Payment", 'Основной счет'!E:E, "Debit")</f>
        <v>8061</v>
      </c>
      <c r="C12" s="7">
        <f t="shared" ref="C12:C15" si="0">IFERROR(B12/$B$15, 0)</f>
        <v>0.18660154170235421</v>
      </c>
      <c r="D12" s="14"/>
      <c r="E12" s="14"/>
      <c r="F12" s="14"/>
      <c r="G12" s="14"/>
      <c r="H12" s="14"/>
    </row>
    <row r="13" spans="1:11" x14ac:dyDescent="0.3">
      <c r="A13" s="14" t="s">
        <v>1938</v>
      </c>
      <c r="B13" s="5">
        <f>SUMIFS('Основной счет'!F:F, 'Основной счет'!C:C, "Utility Bill Payment", 'Основной счет'!E:E, "Debit")</f>
        <v>9552</v>
      </c>
      <c r="C13" s="7">
        <f t="shared" si="0"/>
        <v>0.22111622954235052</v>
      </c>
    </row>
    <row r="14" spans="1:11" x14ac:dyDescent="0.3">
      <c r="A14" s="14" t="s">
        <v>1979</v>
      </c>
      <c r="B14" s="5">
        <f>SUMIFS('Основной счет'!F:F, 'Основной счет'!C:C, "Maintenance Payment", 'Основной счет'!E:E, "Debit")</f>
        <v>8595</v>
      </c>
      <c r="C14" s="7">
        <f t="shared" si="0"/>
        <v>0.1989629389569203</v>
      </c>
      <c r="D14" s="5"/>
      <c r="E14" s="5"/>
      <c r="G14" s="4"/>
    </row>
    <row r="15" spans="1:11" x14ac:dyDescent="0.3">
      <c r="A15" s="14" t="s">
        <v>1980</v>
      </c>
      <c r="B15" s="5">
        <f>SUM(B11:B14)</f>
        <v>43199</v>
      </c>
      <c r="C15" s="7">
        <f>SUM(C11:C14)</f>
        <v>1</v>
      </c>
      <c r="D15" s="5"/>
      <c r="E15" s="5"/>
      <c r="G15" s="4"/>
    </row>
    <row r="16" spans="1:11" x14ac:dyDescent="0.3">
      <c r="A16" s="11" t="s">
        <v>1976</v>
      </c>
      <c r="B16" s="11"/>
      <c r="C16" s="11"/>
      <c r="D16" s="11"/>
      <c r="E16" s="11"/>
      <c r="F16" s="11"/>
      <c r="G16" s="11"/>
      <c r="H16" s="11"/>
    </row>
    <row r="17" spans="1:8" x14ac:dyDescent="0.3">
      <c r="A17" s="15" t="s">
        <v>1911</v>
      </c>
      <c r="B17" s="12" t="s">
        <v>1912</v>
      </c>
      <c r="C17" s="12" t="s">
        <v>1929</v>
      </c>
      <c r="D17" s="16" t="s">
        <v>1913</v>
      </c>
      <c r="E17" s="16" t="s">
        <v>1914</v>
      </c>
      <c r="F17" s="12" t="s">
        <v>1915</v>
      </c>
      <c r="G17" s="17" t="s">
        <v>1916</v>
      </c>
      <c r="H17" s="12"/>
    </row>
    <row r="18" spans="1:8" x14ac:dyDescent="0.3">
      <c r="A18">
        <v>2022</v>
      </c>
      <c r="B18" t="s">
        <v>1917</v>
      </c>
      <c r="C18">
        <v>1</v>
      </c>
      <c r="D18" s="5">
        <f>SUMIFS('Основной счет'!F:F, 'Основной счет'!H:H, A18, 'Основной счет'!I:I, C18, 'Основной счет'!E:E, "Credit")</f>
        <v>29463</v>
      </c>
      <c r="E18" s="5">
        <f>SUMIFS('Основной счет'!F:F, 'Основной счет'!H:H, A18, 'Основной счет'!I:I, C18, 'Основной счет'!E:E, "Debit")</f>
        <v>3485</v>
      </c>
      <c r="F18" s="5">
        <f>D18-E18</f>
        <v>25978</v>
      </c>
      <c r="G18" s="7">
        <f>IFERROR(F18/D18, 0)</f>
        <v>0.88171605063978553</v>
      </c>
    </row>
    <row r="19" spans="1:8" x14ac:dyDescent="0.3">
      <c r="A19">
        <v>2022</v>
      </c>
      <c r="B19" t="s">
        <v>1918</v>
      </c>
      <c r="C19">
        <f>C18+1</f>
        <v>2</v>
      </c>
      <c r="D19" s="5">
        <f>SUMIFS('Основной счет'!F:F, 'Основной счет'!H:H, A19, 'Основной счет'!I:I, C19, 'Основной счет'!E:E, "Credit")</f>
        <v>26196</v>
      </c>
      <c r="E19" s="5">
        <f>SUMIFS('Основной счет'!F:F, 'Основной счет'!H:H, A19, 'Основной счет'!I:I, C19, 'Основной счет'!E:E, "Debit")</f>
        <v>1634</v>
      </c>
      <c r="F19" s="5">
        <f>D19-E19</f>
        <v>24562</v>
      </c>
      <c r="G19" s="7">
        <f>IFERROR(F19/D19, 0)</f>
        <v>0.93762406474270876</v>
      </c>
    </row>
    <row r="20" spans="1:8" x14ac:dyDescent="0.3">
      <c r="A20">
        <v>2022</v>
      </c>
      <c r="B20" t="s">
        <v>1919</v>
      </c>
      <c r="C20">
        <f t="shared" ref="C20:C29" si="1">C19+1</f>
        <v>3</v>
      </c>
      <c r="D20" s="5">
        <f>SUMIFS('Основной счет'!F:F, 'Основной счет'!H:H, A20, 'Основной счет'!I:I, C20, 'Основной счет'!E:E, "Credit")</f>
        <v>18894</v>
      </c>
      <c r="E20" s="5">
        <f>SUMIFS('Основной счет'!F:F, 'Основной счет'!H:H, A20, 'Основной счет'!I:I, C20, 'Основной счет'!E:E, "Debit")</f>
        <v>1635</v>
      </c>
      <c r="F20" s="5">
        <f t="shared" ref="F20:F42" si="2">D20-E20</f>
        <v>17259</v>
      </c>
      <c r="G20" s="7">
        <f t="shared" ref="G20:G42" si="3">IFERROR(F20/D20, 0)</f>
        <v>0.91346459193394725</v>
      </c>
    </row>
    <row r="21" spans="1:8" x14ac:dyDescent="0.3">
      <c r="A21">
        <v>2022</v>
      </c>
      <c r="B21" t="s">
        <v>1920</v>
      </c>
      <c r="C21">
        <f t="shared" si="1"/>
        <v>4</v>
      </c>
      <c r="D21" s="5">
        <f>SUMIFS('Основной счет'!F:F, 'Основной счет'!H:H, A21, 'Основной счет'!I:I, C21, 'Основной счет'!E:E, "Credit")</f>
        <v>18012</v>
      </c>
      <c r="E21" s="5">
        <f>SUMIFS('Основной счет'!F:F, 'Основной счет'!H:H, A21, 'Основной счет'!I:I, C21, 'Основной счет'!E:E, "Debit")</f>
        <v>1284</v>
      </c>
      <c r="F21" s="5">
        <f t="shared" si="2"/>
        <v>16728</v>
      </c>
      <c r="G21" s="7">
        <f t="shared" si="3"/>
        <v>0.92871419053964022</v>
      </c>
    </row>
    <row r="22" spans="1:8" x14ac:dyDescent="0.3">
      <c r="A22">
        <v>2022</v>
      </c>
      <c r="B22" t="s">
        <v>1921</v>
      </c>
      <c r="C22">
        <f t="shared" si="1"/>
        <v>5</v>
      </c>
      <c r="D22" s="5">
        <f>SUMIFS('Основной счет'!F:F, 'Основной счет'!H:H, A22, 'Основной счет'!I:I, C22, 'Основной счет'!E:E, "Credit")</f>
        <v>18550</v>
      </c>
      <c r="E22" s="5">
        <f>SUMIFS('Основной счет'!F:F, 'Основной счет'!H:H, A22, 'Основной счет'!I:I, C22, 'Основной счет'!E:E, "Debit")</f>
        <v>1137</v>
      </c>
      <c r="F22" s="5">
        <f t="shared" si="2"/>
        <v>17413</v>
      </c>
      <c r="G22" s="7">
        <f t="shared" si="3"/>
        <v>0.93870619946091649</v>
      </c>
    </row>
    <row r="23" spans="1:8" x14ac:dyDescent="0.3">
      <c r="A23">
        <v>2022</v>
      </c>
      <c r="B23" t="s">
        <v>1922</v>
      </c>
      <c r="C23">
        <f t="shared" si="1"/>
        <v>6</v>
      </c>
      <c r="D23" s="5">
        <f>SUMIFS('Основной счет'!F:F, 'Основной счет'!H:H, A23, 'Основной счет'!I:I, C23, 'Основной счет'!E:E, "Credit")</f>
        <v>17820</v>
      </c>
      <c r="E23" s="5">
        <f>SUMIFS('Основной счет'!F:F, 'Основной счет'!H:H, A23, 'Основной счет'!I:I, C23, 'Основной счет'!E:E, "Debit")</f>
        <v>2823</v>
      </c>
      <c r="F23" s="5">
        <f t="shared" si="2"/>
        <v>14997</v>
      </c>
      <c r="G23" s="7">
        <f t="shared" si="3"/>
        <v>0.84158249158249154</v>
      </c>
    </row>
    <row r="24" spans="1:8" x14ac:dyDescent="0.3">
      <c r="A24">
        <v>2022</v>
      </c>
      <c r="B24" t="s">
        <v>1923</v>
      </c>
      <c r="C24">
        <f t="shared" si="1"/>
        <v>7</v>
      </c>
      <c r="D24" s="5">
        <f>SUMIFS('Основной счет'!F:F, 'Основной счет'!H:H, A24, 'Основной счет'!I:I, C24, 'Основной счет'!E:E, "Credit")</f>
        <v>23232</v>
      </c>
      <c r="E24" s="5">
        <f>SUMIFS('Основной счет'!F:F, 'Основной счет'!H:H, A24, 'Основной счет'!I:I, C24, 'Основной счет'!E:E, "Debit")</f>
        <v>1779</v>
      </c>
      <c r="F24" s="5">
        <f t="shared" si="2"/>
        <v>21453</v>
      </c>
      <c r="G24" s="7">
        <f t="shared" si="3"/>
        <v>0.92342458677685946</v>
      </c>
    </row>
    <row r="25" spans="1:8" x14ac:dyDescent="0.3">
      <c r="A25">
        <v>2022</v>
      </c>
      <c r="B25" t="s">
        <v>1924</v>
      </c>
      <c r="C25">
        <f t="shared" si="1"/>
        <v>8</v>
      </c>
      <c r="D25" s="5">
        <f>SUMIFS('Основной счет'!F:F, 'Основной счет'!H:H, A25, 'Основной счет'!I:I, C25, 'Основной счет'!E:E, "Credit")</f>
        <v>22841</v>
      </c>
      <c r="E25" s="5">
        <f>SUMIFS('Основной счет'!F:F, 'Основной счет'!H:H, A25, 'Основной счет'!I:I, C25, 'Основной счет'!E:E, "Debit")</f>
        <v>2535</v>
      </c>
      <c r="F25" s="5">
        <f t="shared" si="2"/>
        <v>20306</v>
      </c>
      <c r="G25" s="7">
        <f t="shared" si="3"/>
        <v>0.88901536710301654</v>
      </c>
    </row>
    <row r="26" spans="1:8" x14ac:dyDescent="0.3">
      <c r="A26">
        <v>2022</v>
      </c>
      <c r="B26" t="s">
        <v>1925</v>
      </c>
      <c r="C26">
        <f t="shared" si="1"/>
        <v>9</v>
      </c>
      <c r="D26" s="5">
        <f>SUMIFS('Основной счет'!F:F, 'Основной счет'!H:H, A26, 'Основной счет'!I:I, C26, 'Основной счет'!E:E, "Credit")</f>
        <v>29391</v>
      </c>
      <c r="E26" s="5">
        <f>SUMIFS('Основной счет'!F:F, 'Основной счет'!H:H, A26, 'Основной счет'!I:I, C26, 'Основной счет'!E:E, "Debit")</f>
        <v>1259</v>
      </c>
      <c r="F26" s="5">
        <f t="shared" si="2"/>
        <v>28132</v>
      </c>
      <c r="G26" s="7">
        <f t="shared" si="3"/>
        <v>0.95716375761287464</v>
      </c>
      <c r="H26" s="14"/>
    </row>
    <row r="27" spans="1:8" x14ac:dyDescent="0.3">
      <c r="A27">
        <v>2022</v>
      </c>
      <c r="B27" t="s">
        <v>1926</v>
      </c>
      <c r="C27">
        <f t="shared" si="1"/>
        <v>10</v>
      </c>
      <c r="D27" s="5">
        <f>SUMIFS('Основной счет'!F:F, 'Основной счет'!H:H, A27, 'Основной счет'!I:I, C27, 'Основной счет'!E:E, "Credit")</f>
        <v>30424</v>
      </c>
      <c r="E27" s="5">
        <f>SUMIFS('Основной счет'!F:F, 'Основной счет'!H:H, A27, 'Основной счет'!I:I, C27, 'Основной счет'!E:E, "Debit")</f>
        <v>1234</v>
      </c>
      <c r="F27" s="5">
        <f t="shared" si="2"/>
        <v>29190</v>
      </c>
      <c r="G27" s="7">
        <f t="shared" si="3"/>
        <v>0.95943991585590327</v>
      </c>
    </row>
    <row r="28" spans="1:8" x14ac:dyDescent="0.3">
      <c r="A28">
        <v>2022</v>
      </c>
      <c r="B28" t="s">
        <v>1927</v>
      </c>
      <c r="C28">
        <f t="shared" si="1"/>
        <v>11</v>
      </c>
      <c r="D28" s="5">
        <f>SUMIFS('Основной счет'!F:F, 'Основной счет'!H:H, A28, 'Основной счет'!I:I, C28, 'Основной счет'!E:E, "Credit")</f>
        <v>28391</v>
      </c>
      <c r="E28" s="5">
        <f>SUMIFS('Основной счет'!F:F, 'Основной счет'!H:H, A28, 'Основной счет'!I:I, C28, 'Основной счет'!E:E, "Debit")</f>
        <v>2369</v>
      </c>
      <c r="F28" s="5">
        <f t="shared" si="2"/>
        <v>26022</v>
      </c>
      <c r="G28" s="7">
        <f t="shared" si="3"/>
        <v>0.91655806417526686</v>
      </c>
    </row>
    <row r="29" spans="1:8" x14ac:dyDescent="0.3">
      <c r="A29">
        <v>2022</v>
      </c>
      <c r="B29" t="s">
        <v>1928</v>
      </c>
      <c r="C29">
        <f t="shared" si="1"/>
        <v>12</v>
      </c>
      <c r="D29" s="5">
        <f>SUMIFS('Основной счет'!F:F, 'Основной счет'!H:H, A29, 'Основной счет'!I:I, C29, 'Основной счет'!E:E, "Credit")</f>
        <v>28351</v>
      </c>
      <c r="E29" s="5">
        <f>SUMIFS('Основной счет'!F:F, 'Основной счет'!H:H, A29, 'Основной счет'!I:I, C29, 'Основной счет'!E:E, "Debit")</f>
        <v>1868</v>
      </c>
      <c r="F29" s="5">
        <f t="shared" si="2"/>
        <v>26483</v>
      </c>
      <c r="G29" s="7">
        <f t="shared" si="3"/>
        <v>0.93411167154597718</v>
      </c>
    </row>
    <row r="30" spans="1:8" x14ac:dyDescent="0.3">
      <c r="D30" s="5"/>
      <c r="E30" s="5"/>
      <c r="F30" s="5"/>
      <c r="G30" s="7"/>
    </row>
    <row r="31" spans="1:8" x14ac:dyDescent="0.3">
      <c r="A31">
        <v>2023</v>
      </c>
      <c r="B31" t="s">
        <v>1917</v>
      </c>
      <c r="C31">
        <v>1</v>
      </c>
      <c r="D31" s="5">
        <f>SUMIFS('Основной счет'!F:F, 'Основной счет'!H:H, A31, 'Основной счет'!I:I, C31, 'Основной счет'!E:E, "Credit")</f>
        <v>30248</v>
      </c>
      <c r="E31" s="5">
        <f>SUMIFS('Основной счет'!F:F, 'Основной счет'!H:H, A31, 'Основной счет'!I:I, C31, 'Основной счет'!E:E, "Debit")</f>
        <v>2525</v>
      </c>
      <c r="F31" s="5">
        <f t="shared" si="2"/>
        <v>27723</v>
      </c>
      <c r="G31" s="7">
        <f t="shared" si="3"/>
        <v>0.91652340650621533</v>
      </c>
    </row>
    <row r="32" spans="1:8" x14ac:dyDescent="0.3">
      <c r="A32">
        <v>2023</v>
      </c>
      <c r="B32" t="s">
        <v>1918</v>
      </c>
      <c r="C32">
        <f>C31+1</f>
        <v>2</v>
      </c>
      <c r="D32" s="5">
        <f>SUMIFS('Основной счет'!F:F, 'Основной счет'!H:H, A32, 'Основной счет'!I:I, C32, 'Основной счет'!E:E, "Credit")</f>
        <v>25404</v>
      </c>
      <c r="E32" s="5">
        <f>SUMIFS('Основной счет'!F:F, 'Основной счет'!H:H, A32, 'Основной счет'!I:I, C32, 'Основной счет'!E:E, "Debit")</f>
        <v>942</v>
      </c>
      <c r="F32" s="5">
        <f t="shared" si="2"/>
        <v>24462</v>
      </c>
      <c r="G32" s="7">
        <f t="shared" si="3"/>
        <v>0.96291922531884744</v>
      </c>
    </row>
    <row r="33" spans="1:8" x14ac:dyDescent="0.3">
      <c r="A33">
        <v>2023</v>
      </c>
      <c r="B33" t="s">
        <v>1919</v>
      </c>
      <c r="C33">
        <f t="shared" ref="C33:C42" si="4">C32+1</f>
        <v>3</v>
      </c>
      <c r="D33" s="5">
        <f>SUMIFS('Основной счет'!F:F, 'Основной счет'!H:H, A33, 'Основной счет'!I:I, C33, 'Основной счет'!E:E, "Credit")</f>
        <v>19541</v>
      </c>
      <c r="E33" s="5">
        <f>SUMIFS('Основной счет'!F:F, 'Основной счет'!H:H, A33, 'Основной счет'!I:I, C33, 'Основной счет'!E:E, "Debit")</f>
        <v>1510</v>
      </c>
      <c r="F33" s="5">
        <f t="shared" si="2"/>
        <v>18031</v>
      </c>
      <c r="G33" s="7">
        <f t="shared" si="3"/>
        <v>0.92272657489381305</v>
      </c>
    </row>
    <row r="34" spans="1:8" x14ac:dyDescent="0.3">
      <c r="A34">
        <v>2023</v>
      </c>
      <c r="B34" t="s">
        <v>1920</v>
      </c>
      <c r="C34">
        <f t="shared" si="4"/>
        <v>4</v>
      </c>
      <c r="D34" s="5">
        <f>SUMIFS('Основной счет'!F:F, 'Основной счет'!H:H, A34, 'Основной счет'!I:I, C34, 'Основной счет'!E:E, "Credit")</f>
        <v>18920</v>
      </c>
      <c r="E34" s="5">
        <f>SUMIFS('Основной счет'!F:F, 'Основной счет'!H:H, A34, 'Основной счет'!I:I, C34, 'Основной счет'!E:E, "Debit")</f>
        <v>1464</v>
      </c>
      <c r="F34" s="5">
        <f t="shared" si="2"/>
        <v>17456</v>
      </c>
      <c r="G34" s="7">
        <f t="shared" si="3"/>
        <v>0.92262156448202959</v>
      </c>
    </row>
    <row r="35" spans="1:8" x14ac:dyDescent="0.3">
      <c r="A35">
        <v>2023</v>
      </c>
      <c r="B35" t="s">
        <v>1921</v>
      </c>
      <c r="C35">
        <f t="shared" si="4"/>
        <v>5</v>
      </c>
      <c r="D35" s="5">
        <f>SUMIFS('Основной счет'!F:F, 'Основной счет'!H:H, A35, 'Основной счет'!I:I, C35, 'Основной счет'!E:E, "Credit")</f>
        <v>18462</v>
      </c>
      <c r="E35" s="5">
        <f>SUMIFS('Основной счет'!F:F, 'Основной счет'!H:H, A35, 'Основной счет'!I:I, C35, 'Основной счет'!E:E, "Debit")</f>
        <v>844</v>
      </c>
      <c r="F35" s="5">
        <f t="shared" si="2"/>
        <v>17618</v>
      </c>
      <c r="G35" s="7">
        <f t="shared" si="3"/>
        <v>0.95428447622142776</v>
      </c>
    </row>
    <row r="36" spans="1:8" x14ac:dyDescent="0.3">
      <c r="A36">
        <v>2023</v>
      </c>
      <c r="B36" t="s">
        <v>1922</v>
      </c>
      <c r="C36">
        <f t="shared" si="4"/>
        <v>6</v>
      </c>
      <c r="D36" s="5">
        <f>SUMIFS('Основной счет'!F:F, 'Основной счет'!H:H, A36, 'Основной счет'!I:I, C36, 'Основной счет'!E:E, "Credit")</f>
        <v>17932</v>
      </c>
      <c r="E36" s="5">
        <f>SUMIFS('Основной счет'!F:F, 'Основной счет'!H:H, A36, 'Основной счет'!I:I, C36, 'Основной счет'!E:E, "Debit")</f>
        <v>1890</v>
      </c>
      <c r="F36" s="5">
        <f t="shared" si="2"/>
        <v>16042</v>
      </c>
      <c r="G36" s="7">
        <f t="shared" si="3"/>
        <v>0.89460182913227748</v>
      </c>
    </row>
    <row r="37" spans="1:8" x14ac:dyDescent="0.3">
      <c r="A37">
        <v>2023</v>
      </c>
      <c r="B37" t="s">
        <v>1923</v>
      </c>
      <c r="C37">
        <f t="shared" si="4"/>
        <v>7</v>
      </c>
      <c r="D37" s="5">
        <f>SUMIFS('Основной счет'!F:F, 'Основной счет'!H:H, A37, 'Основной счет'!I:I, C37, 'Основной счет'!E:E, "Credit")</f>
        <v>23166</v>
      </c>
      <c r="E37" s="5">
        <f>SUMIFS('Основной счет'!F:F, 'Основной счет'!H:H, A37, 'Основной счет'!I:I, C37, 'Основной счет'!E:E, "Debit")</f>
        <v>1691</v>
      </c>
      <c r="F37" s="5">
        <f t="shared" si="2"/>
        <v>21475</v>
      </c>
      <c r="G37" s="7">
        <f t="shared" si="3"/>
        <v>0.92700509367176032</v>
      </c>
    </row>
    <row r="38" spans="1:8" x14ac:dyDescent="0.3">
      <c r="A38">
        <v>2023</v>
      </c>
      <c r="B38" t="s">
        <v>1924</v>
      </c>
      <c r="C38">
        <f t="shared" si="4"/>
        <v>8</v>
      </c>
      <c r="D38" s="5">
        <f>SUMIFS('Основной счет'!F:F, 'Основной счет'!H:H, A38, 'Основной счет'!I:I, C38, 'Основной счет'!E:E, "Credit")</f>
        <v>23650</v>
      </c>
      <c r="E38" s="5">
        <f>SUMIFS('Основной счет'!F:F, 'Основной счет'!H:H, A38, 'Основной счет'!I:I, C38, 'Основной счет'!E:E, "Debit")</f>
        <v>1273</v>
      </c>
      <c r="F38" s="5">
        <f t="shared" si="2"/>
        <v>22377</v>
      </c>
      <c r="G38" s="7">
        <f t="shared" si="3"/>
        <v>0.94617336152219877</v>
      </c>
    </row>
    <row r="39" spans="1:8" x14ac:dyDescent="0.3">
      <c r="A39">
        <v>2023</v>
      </c>
      <c r="B39" t="s">
        <v>1925</v>
      </c>
      <c r="C39">
        <f t="shared" si="4"/>
        <v>9</v>
      </c>
      <c r="D39" s="5">
        <f>SUMIFS('Основной счет'!F:F, 'Основной счет'!H:H, A39, 'Основной счет'!I:I, C39, 'Основной счет'!E:E, "Credit")</f>
        <v>26576</v>
      </c>
      <c r="E39" s="5">
        <f>SUMIFS('Основной счет'!F:F, 'Основной счет'!H:H, A39, 'Основной счет'!I:I, C39, 'Основной счет'!E:E, "Debit")</f>
        <v>1838</v>
      </c>
      <c r="F39" s="5">
        <f t="shared" si="2"/>
        <v>24738</v>
      </c>
      <c r="G39" s="7">
        <f t="shared" si="3"/>
        <v>0.93083985550872972</v>
      </c>
    </row>
    <row r="40" spans="1:8" x14ac:dyDescent="0.3">
      <c r="A40">
        <v>2023</v>
      </c>
      <c r="B40" t="s">
        <v>1926</v>
      </c>
      <c r="C40">
        <f t="shared" si="4"/>
        <v>10</v>
      </c>
      <c r="D40" s="5">
        <f>SUMIFS('Основной счет'!F:F, 'Основной счет'!H:H, A40, 'Основной счет'!I:I, C40, 'Основной счет'!E:E, "Credit")</f>
        <v>29226</v>
      </c>
      <c r="E40" s="5">
        <f>SUMIFS('Основной счет'!F:F, 'Основной счет'!H:H, A40, 'Основной счет'!I:I, C40, 'Основной счет'!E:E, "Debit")</f>
        <v>1585</v>
      </c>
      <c r="F40" s="5">
        <f t="shared" si="2"/>
        <v>27641</v>
      </c>
      <c r="G40" s="7">
        <f t="shared" si="3"/>
        <v>0.94576746732361594</v>
      </c>
      <c r="H40" s="14"/>
    </row>
    <row r="41" spans="1:8" x14ac:dyDescent="0.3">
      <c r="A41">
        <v>2023</v>
      </c>
      <c r="B41" t="s">
        <v>1927</v>
      </c>
      <c r="C41">
        <f t="shared" si="4"/>
        <v>11</v>
      </c>
      <c r="D41" s="5">
        <f>SUMIFS('Основной счет'!F:F, 'Основной счет'!H:H, A41, 'Основной счет'!I:I, C41, 'Основной счет'!E:E, "Credit")</f>
        <v>29072</v>
      </c>
      <c r="E41" s="5">
        <f>SUMIFS('Основной счет'!F:F, 'Основной счет'!H:H, A41, 'Основной счет'!I:I, C41, 'Основной счет'!E:E, "Debit")</f>
        <v>2212</v>
      </c>
      <c r="F41" s="5">
        <f t="shared" si="2"/>
        <v>26860</v>
      </c>
      <c r="G41" s="7">
        <f t="shared" si="3"/>
        <v>0.92391304347826086</v>
      </c>
    </row>
    <row r="42" spans="1:8" x14ac:dyDescent="0.3">
      <c r="A42">
        <v>2023</v>
      </c>
      <c r="B42" t="s">
        <v>1928</v>
      </c>
      <c r="C42">
        <f t="shared" si="4"/>
        <v>12</v>
      </c>
      <c r="D42" s="5">
        <f>SUMIFS('Основной счет'!F:F, 'Основной счет'!H:H, A42, 'Основной счет'!I:I, C42, 'Основной счет'!E:E, "Credit")</f>
        <v>29045</v>
      </c>
      <c r="E42" s="5">
        <f>SUMIFS('Основной счет'!F:F, 'Основной счет'!H:H, A42, 'Основной счет'!I:I, C42, 'Основной счет'!E:E, "Debit")</f>
        <v>2383</v>
      </c>
      <c r="F42" s="5">
        <f t="shared" si="2"/>
        <v>26662</v>
      </c>
      <c r="G42" s="7">
        <f t="shared" si="3"/>
        <v>0.91795489757273196</v>
      </c>
      <c r="H42" s="6"/>
    </row>
    <row r="43" spans="1:8" x14ac:dyDescent="0.3">
      <c r="A43" s="11" t="s">
        <v>1959</v>
      </c>
      <c r="B43" s="11"/>
      <c r="C43" s="11"/>
      <c r="D43" s="11"/>
      <c r="E43" s="11"/>
      <c r="F43" s="11"/>
      <c r="G43" s="11"/>
      <c r="H43" s="11"/>
    </row>
    <row r="44" spans="1:8" x14ac:dyDescent="0.3">
      <c r="A44" s="12" t="s">
        <v>1874</v>
      </c>
      <c r="B44" s="12">
        <v>2022</v>
      </c>
      <c r="C44" s="16">
        <v>2023</v>
      </c>
      <c r="D44" s="12" t="s">
        <v>1960</v>
      </c>
      <c r="E44" s="6"/>
      <c r="F44" s="5"/>
      <c r="G44" s="5"/>
      <c r="H44" s="6"/>
    </row>
    <row r="45" spans="1:8" x14ac:dyDescent="0.3">
      <c r="A45" t="s">
        <v>1907</v>
      </c>
      <c r="B45" s="5">
        <f>SUMIFS('Основной счет'!F:F, 'Основной счет'!H:H, 2022, 'Основной счет'!E:E, "Credit")</f>
        <v>291565</v>
      </c>
      <c r="C45" s="5">
        <f>SUMIFS('Основной счет'!F:F, 'Основной счет'!H:H, 2023, 'Основной счет'!E:E, "Credit")</f>
        <v>291242</v>
      </c>
      <c r="D45" s="7">
        <f>IFERROR((C45-B45)/B45, 0)</f>
        <v>-1.107814723989505E-3</v>
      </c>
      <c r="E45" s="6"/>
      <c r="F45" s="5"/>
      <c r="G45" s="5"/>
      <c r="H45" s="6"/>
    </row>
    <row r="46" spans="1:8" x14ac:dyDescent="0.3">
      <c r="A46" t="s">
        <v>1879</v>
      </c>
      <c r="B46" s="5">
        <f>SUMIFS('Основной счет'!F:F, 'Основной счет'!H:H, 2022, 'Основной счет'!E:E, "Debit")</f>
        <v>23042</v>
      </c>
      <c r="C46" s="5">
        <f>SUMIFS('Основной счет'!F:F, 'Основной счет'!H:H, 2023, 'Основной счет'!E:E, "Debit")</f>
        <v>20157</v>
      </c>
      <c r="D46" s="7">
        <f>IFERROR((C46-B46)/B46, 0)</f>
        <v>-0.12520614529988716</v>
      </c>
      <c r="E46" s="6"/>
      <c r="F46" s="5"/>
      <c r="G46" s="5"/>
      <c r="H46" s="6"/>
    </row>
    <row r="47" spans="1:8" x14ac:dyDescent="0.3">
      <c r="A47" t="s">
        <v>1908</v>
      </c>
      <c r="B47" s="13">
        <f>B45-B46</f>
        <v>268523</v>
      </c>
      <c r="C47" s="5">
        <f>C45-C46</f>
        <v>271085</v>
      </c>
      <c r="D47" s="7">
        <f>IFERROR((C47-B47)/B47, 0)</f>
        <v>9.5410821419394248E-3</v>
      </c>
      <c r="E47" s="6"/>
      <c r="F47" s="5"/>
      <c r="G47" s="5"/>
      <c r="H47" s="6"/>
    </row>
    <row r="48" spans="1:8" x14ac:dyDescent="0.3">
      <c r="A48" t="s">
        <v>1989</v>
      </c>
      <c r="B48" s="7">
        <f>AVERAGE(G19:G30)</f>
        <v>0.9218004455754184</v>
      </c>
      <c r="C48" s="7">
        <f>AVERAGE(G31:G42)</f>
        <v>0.93044423296932577</v>
      </c>
      <c r="D48" s="7">
        <f>C48-B48</f>
        <v>8.6437873939073651E-3</v>
      </c>
      <c r="E48" s="6"/>
      <c r="F48" s="5"/>
      <c r="G48" s="5"/>
      <c r="H48" s="6"/>
    </row>
    <row r="49" spans="1:8" x14ac:dyDescent="0.3">
      <c r="A49" s="11" t="s">
        <v>1909</v>
      </c>
      <c r="B49" s="11"/>
      <c r="C49" s="11"/>
      <c r="D49" s="11"/>
      <c r="E49" s="11"/>
      <c r="F49" s="11"/>
      <c r="G49" s="11"/>
      <c r="H49" s="11"/>
    </row>
    <row r="50" spans="1:8" x14ac:dyDescent="0.3">
      <c r="A50" t="s">
        <v>1990</v>
      </c>
      <c r="B50" s="5">
        <f>B45 - G53</f>
        <v>282351</v>
      </c>
      <c r="C50" s="5"/>
      <c r="D50" s="6"/>
      <c r="E50" s="6"/>
      <c r="F50" s="5"/>
      <c r="G50" s="5"/>
      <c r="H50" s="6"/>
    </row>
    <row r="51" spans="1:8" x14ac:dyDescent="0.3">
      <c r="A51" t="s">
        <v>1992</v>
      </c>
      <c r="B51" s="7">
        <f>IFERROR(B50/B45, 0)</f>
        <v>0.96839812734724673</v>
      </c>
      <c r="C51" s="5"/>
      <c r="D51" s="6"/>
      <c r="E51" s="6"/>
      <c r="F51" s="5"/>
      <c r="G51" s="5"/>
      <c r="H51" s="6"/>
    </row>
    <row r="52" spans="1:8" x14ac:dyDescent="0.3">
      <c r="A52" t="s">
        <v>1993</v>
      </c>
      <c r="B52" s="5">
        <f>C45 - H53</f>
        <v>283465</v>
      </c>
      <c r="C52" s="5"/>
      <c r="D52" s="6"/>
      <c r="E52" s="6"/>
      <c r="F52" s="5"/>
      <c r="G52" s="5"/>
      <c r="H52" s="6"/>
    </row>
    <row r="53" spans="1:8" x14ac:dyDescent="0.3">
      <c r="A53" t="s">
        <v>1991</v>
      </c>
      <c r="B53" s="7">
        <f>IFERROR(B52/C45, 0)</f>
        <v>0.97329712060760465</v>
      </c>
      <c r="C53" s="5"/>
      <c r="D53" s="6"/>
      <c r="E53" s="6"/>
      <c r="F53" s="5"/>
      <c r="G53" s="1">
        <f xml:space="preserve"> SUMIFS('Основной счет'!F:F, 'Основной счет'!H:H, 2022, 'Основной счет'!D:D, "COGS", 'Основной счет'!E:E, "Debit")</f>
        <v>9214</v>
      </c>
      <c r="H53" s="1">
        <f xml:space="preserve"> SUMIFS('Основной счет'!F:F, 'Основной счет'!H:H, 2023, 'Основной счет'!D:D, "COGS", 'Основной счет'!E:E, "Debit")</f>
        <v>7777</v>
      </c>
    </row>
    <row r="54" spans="1:8" x14ac:dyDescent="0.3">
      <c r="A54" s="14"/>
      <c r="B54" s="14"/>
      <c r="C54" s="14"/>
      <c r="D54" s="14"/>
      <c r="E54" s="14"/>
      <c r="F54" s="14"/>
      <c r="G54" s="14"/>
      <c r="H54" s="14"/>
    </row>
  </sheetData>
  <mergeCells count="5">
    <mergeCell ref="A16:H16"/>
    <mergeCell ref="A43:H43"/>
    <mergeCell ref="A49:H49"/>
    <mergeCell ref="A1:H1"/>
    <mergeCell ref="A9:H9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3254-62EB-43CB-A94D-3662A6D12735}">
  <dimension ref="A1:G40"/>
  <sheetViews>
    <sheetView topLeftCell="A19" workbookViewId="0">
      <selection activeCell="H40" sqref="H40"/>
    </sheetView>
  </sheetViews>
  <sheetFormatPr defaultRowHeight="14.4" x14ac:dyDescent="0.3"/>
  <cols>
    <col min="1" max="1" width="17.77734375" customWidth="1"/>
    <col min="2" max="2" width="17.5546875" customWidth="1"/>
  </cols>
  <sheetData>
    <row r="1" spans="1:7" x14ac:dyDescent="0.3">
      <c r="A1" s="11" t="s">
        <v>1947</v>
      </c>
      <c r="B1" s="11"/>
      <c r="C1" s="11"/>
      <c r="D1" s="11"/>
      <c r="E1" s="11"/>
      <c r="F1" s="11"/>
      <c r="G1" s="11"/>
    </row>
    <row r="2" spans="1:7" x14ac:dyDescent="0.3">
      <c r="A2" t="s">
        <v>1969</v>
      </c>
      <c r="B2" s="1">
        <f>SUMIF('Второй счет'!E:E, "Credit", 'Второй счет'!F:F)</f>
        <v>110617</v>
      </c>
    </row>
    <row r="3" spans="1:7" x14ac:dyDescent="0.3">
      <c r="A3" t="s">
        <v>1970</v>
      </c>
      <c r="B3" s="1">
        <f>SUMIF('Второй счет'!E:E, "Debit", 'Второй счет'!F:F)</f>
        <v>97811</v>
      </c>
    </row>
    <row r="4" spans="1:7" x14ac:dyDescent="0.3">
      <c r="A4" t="s">
        <v>1971</v>
      </c>
      <c r="B4" s="1">
        <f>B2-B3</f>
        <v>12806</v>
      </c>
    </row>
    <row r="5" spans="1:7" x14ac:dyDescent="0.3">
      <c r="A5" t="s">
        <v>1972</v>
      </c>
      <c r="B5" s="1">
        <f>COUNTIF('Второй счет'!E:E, "Credit")</f>
        <v>24</v>
      </c>
    </row>
    <row r="6" spans="1:7" x14ac:dyDescent="0.3">
      <c r="A6" t="s">
        <v>1973</v>
      </c>
      <c r="B6" s="1">
        <f>COUNTIF('Второй счет'!E:E, "Debit")</f>
        <v>24</v>
      </c>
    </row>
    <row r="7" spans="1:7" x14ac:dyDescent="0.3">
      <c r="A7" t="s">
        <v>1974</v>
      </c>
      <c r="B7" s="1">
        <f>IFERROR(B2/B5, 0)</f>
        <v>4609.041666666667</v>
      </c>
    </row>
    <row r="8" spans="1:7" x14ac:dyDescent="0.3">
      <c r="A8" t="s">
        <v>1975</v>
      </c>
      <c r="B8" s="1">
        <f>IFERROR(B3/B6, 0)</f>
        <v>4075.4583333333335</v>
      </c>
    </row>
    <row r="9" spans="1:7" x14ac:dyDescent="0.3">
      <c r="A9" s="11" t="s">
        <v>1976</v>
      </c>
      <c r="B9" s="11"/>
      <c r="C9" s="11"/>
      <c r="D9" s="11"/>
      <c r="E9" s="11"/>
      <c r="F9" s="11"/>
      <c r="G9" s="11"/>
    </row>
    <row r="10" spans="1:7" x14ac:dyDescent="0.3">
      <c r="A10" s="12" t="s">
        <v>1911</v>
      </c>
      <c r="B10" s="12" t="s">
        <v>1912</v>
      </c>
      <c r="C10" s="12" t="s">
        <v>1929</v>
      </c>
      <c r="D10" s="12" t="s">
        <v>1969</v>
      </c>
      <c r="E10" s="12" t="s">
        <v>1970</v>
      </c>
      <c r="F10" s="12" t="s">
        <v>1977</v>
      </c>
      <c r="G10" s="12" t="s">
        <v>1978</v>
      </c>
    </row>
    <row r="11" spans="1:7" x14ac:dyDescent="0.3">
      <c r="A11">
        <v>2022</v>
      </c>
      <c r="B11" t="s">
        <v>1917</v>
      </c>
      <c r="C11">
        <v>1</v>
      </c>
      <c r="D11" s="5">
        <f>SUMIFS('Второй счет'!F:F, 'Второй счет'!H:H, A11, 'Второй счет'!I:I, C11, 'Второй счет'!E:E, "Credit")</f>
        <v>3403</v>
      </c>
      <c r="E11" s="5">
        <f>SUMIFS('Второй счет'!F:F, 'Второй счет'!H:H, A11, 'Второй счет'!I:I, C11, 'Второй счет'!E:E, "Debit")</f>
        <v>2688</v>
      </c>
      <c r="F11" s="13">
        <f>D11-E11</f>
        <v>715</v>
      </c>
      <c r="G11" s="7">
        <f>IFERROR(E11/D11, 0)</f>
        <v>0.78989127240669998</v>
      </c>
    </row>
    <row r="12" spans="1:7" x14ac:dyDescent="0.3">
      <c r="A12">
        <v>2022</v>
      </c>
      <c r="B12" t="s">
        <v>1918</v>
      </c>
      <c r="C12">
        <f>C11+1</f>
        <v>2</v>
      </c>
      <c r="D12" s="5">
        <f>SUMIFS('Второй счет'!F:F, 'Второй счет'!H:H, A12, 'Второй счет'!I:I, C12, 'Второй счет'!E:E, "Credit")</f>
        <v>5779</v>
      </c>
      <c r="E12" s="5">
        <f>SUMIFS('Второй счет'!F:F, 'Второй счет'!H:H, A12, 'Второй счет'!I:I, C12, 'Второй счет'!E:E, "Debit")</f>
        <v>5216</v>
      </c>
      <c r="F12" s="13">
        <f t="shared" ref="F12:F35" si="0">D12-E12</f>
        <v>563</v>
      </c>
      <c r="G12" s="7">
        <f>IFERROR(E12/D12, 0)</f>
        <v>0.90257830074407341</v>
      </c>
    </row>
    <row r="13" spans="1:7" x14ac:dyDescent="0.3">
      <c r="A13">
        <v>2022</v>
      </c>
      <c r="B13" t="s">
        <v>1919</v>
      </c>
      <c r="C13">
        <f t="shared" ref="C13:C22" si="1">C12+1</f>
        <v>3</v>
      </c>
      <c r="D13" s="5">
        <f>SUMIFS('Второй счет'!F:F, 'Второй счет'!H:H, A13, 'Второй счет'!I:I, C13, 'Второй счет'!E:E, "Credit")</f>
        <v>5579</v>
      </c>
      <c r="E13" s="5">
        <f>SUMIFS('Второй счет'!F:F, 'Второй счет'!H:H, A13, 'Второй счет'!I:I, C13, 'Второй счет'!E:E, "Debit")</f>
        <v>5228</v>
      </c>
      <c r="F13" s="13">
        <f t="shared" si="0"/>
        <v>351</v>
      </c>
      <c r="G13" s="7">
        <f t="shared" ref="G13:G35" si="2">IFERROR(E13/D13, 0)</f>
        <v>0.93708549919340378</v>
      </c>
    </row>
    <row r="14" spans="1:7" x14ac:dyDescent="0.3">
      <c r="A14">
        <v>2022</v>
      </c>
      <c r="B14" t="s">
        <v>1920</v>
      </c>
      <c r="C14">
        <f t="shared" si="1"/>
        <v>4</v>
      </c>
      <c r="D14" s="5">
        <f>SUMIFS('Второй счет'!F:F, 'Второй счет'!H:H, A14, 'Второй счет'!I:I, C14, 'Второй счет'!E:E, "Credit")</f>
        <v>4712</v>
      </c>
      <c r="E14" s="5">
        <f>SUMIFS('Второй счет'!F:F, 'Второй счет'!H:H, A14, 'Второй счет'!I:I, C14, 'Второй счет'!E:E, "Debit")</f>
        <v>4093</v>
      </c>
      <c r="F14" s="13">
        <f t="shared" si="0"/>
        <v>619</v>
      </c>
      <c r="G14" s="7">
        <f t="shared" si="2"/>
        <v>0.86863327674023771</v>
      </c>
    </row>
    <row r="15" spans="1:7" x14ac:dyDescent="0.3">
      <c r="A15">
        <v>2022</v>
      </c>
      <c r="B15" t="s">
        <v>1921</v>
      </c>
      <c r="C15">
        <f t="shared" si="1"/>
        <v>5</v>
      </c>
      <c r="D15" s="5">
        <f>SUMIFS('Второй счет'!F:F, 'Второй счет'!H:H, A15, 'Второй счет'!I:I, C15, 'Второй счет'!E:E, "Credit")</f>
        <v>4273</v>
      </c>
      <c r="E15" s="5">
        <f>SUMIFS('Второй счет'!F:F, 'Второй счет'!H:H, A15, 'Второй счет'!I:I, C15, 'Второй счет'!E:E, "Debit")</f>
        <v>3957</v>
      </c>
      <c r="F15" s="13">
        <f t="shared" si="0"/>
        <v>316</v>
      </c>
      <c r="G15" s="7">
        <f t="shared" si="2"/>
        <v>0.9260472735782822</v>
      </c>
    </row>
    <row r="16" spans="1:7" x14ac:dyDescent="0.3">
      <c r="A16">
        <v>2022</v>
      </c>
      <c r="B16" t="s">
        <v>1922</v>
      </c>
      <c r="C16">
        <f t="shared" si="1"/>
        <v>6</v>
      </c>
      <c r="D16" s="5">
        <f>SUMIFS('Второй счет'!F:F, 'Второй счет'!H:H, A16, 'Второй счет'!I:I, C16, 'Второй счет'!E:E, "Credit")</f>
        <v>5913</v>
      </c>
      <c r="E16" s="5">
        <f>SUMIFS('Второй счет'!F:F, 'Второй счет'!H:H, A16, 'Второй счет'!I:I, C16, 'Второй счет'!E:E, "Debit")</f>
        <v>5202</v>
      </c>
      <c r="F16" s="13">
        <f t="shared" si="0"/>
        <v>711</v>
      </c>
      <c r="G16" s="7">
        <f t="shared" si="2"/>
        <v>0.87975646879756464</v>
      </c>
    </row>
    <row r="17" spans="1:7" x14ac:dyDescent="0.3">
      <c r="A17">
        <v>2022</v>
      </c>
      <c r="B17" t="s">
        <v>1923</v>
      </c>
      <c r="C17">
        <f t="shared" si="1"/>
        <v>7</v>
      </c>
      <c r="D17" s="5">
        <f>SUMIFS('Второй счет'!F:F, 'Второй счет'!H:H, A17, 'Второй счет'!I:I, C17, 'Второй счет'!E:E, "Credit")</f>
        <v>5625</v>
      </c>
      <c r="E17" s="5">
        <f>SUMIFS('Второй счет'!F:F, 'Второй счет'!H:H, A17, 'Второй счет'!I:I, C17, 'Второй счет'!E:E, "Debit")</f>
        <v>5091</v>
      </c>
      <c r="F17" s="13">
        <f t="shared" si="0"/>
        <v>534</v>
      </c>
      <c r="G17" s="7">
        <f t="shared" si="2"/>
        <v>0.90506666666666669</v>
      </c>
    </row>
    <row r="18" spans="1:7" x14ac:dyDescent="0.3">
      <c r="A18">
        <v>2022</v>
      </c>
      <c r="B18" t="s">
        <v>1924</v>
      </c>
      <c r="C18">
        <f t="shared" si="1"/>
        <v>8</v>
      </c>
      <c r="D18" s="5">
        <f>SUMIFS('Второй счет'!F:F, 'Второй счет'!H:H, A18, 'Второй счет'!I:I, C18, 'Второй счет'!E:E, "Credit")</f>
        <v>4441</v>
      </c>
      <c r="E18" s="5">
        <f>SUMIFS('Второй счет'!F:F, 'Второй счет'!H:H, A18, 'Второй счет'!I:I, C18, 'Второй счет'!E:E, "Debit")</f>
        <v>3947</v>
      </c>
      <c r="F18" s="13">
        <f t="shared" si="0"/>
        <v>494</v>
      </c>
      <c r="G18" s="7">
        <f t="shared" si="2"/>
        <v>0.88876379193875255</v>
      </c>
    </row>
    <row r="19" spans="1:7" x14ac:dyDescent="0.3">
      <c r="A19">
        <v>2022</v>
      </c>
      <c r="B19" t="s">
        <v>1925</v>
      </c>
      <c r="C19">
        <f t="shared" si="1"/>
        <v>9</v>
      </c>
      <c r="D19" s="5">
        <f>SUMIFS('Второй счет'!F:F, 'Второй счет'!H:H, A19, 'Второй счет'!I:I, C19, 'Второй счет'!E:E, "Credit")</f>
        <v>3754</v>
      </c>
      <c r="E19" s="5">
        <f>SUMIFS('Второй счет'!F:F, 'Второй счет'!H:H, A19, 'Второй счет'!I:I, C19, 'Второй счет'!E:E, "Debit")</f>
        <v>3184</v>
      </c>
      <c r="F19" s="13">
        <f t="shared" si="0"/>
        <v>570</v>
      </c>
      <c r="G19" s="7">
        <f t="shared" si="2"/>
        <v>0.84816196057538629</v>
      </c>
    </row>
    <row r="20" spans="1:7" x14ac:dyDescent="0.3">
      <c r="A20">
        <v>2022</v>
      </c>
      <c r="B20" t="s">
        <v>1926</v>
      </c>
      <c r="C20">
        <f t="shared" si="1"/>
        <v>10</v>
      </c>
      <c r="D20" s="5">
        <f>SUMIFS('Второй счет'!F:F, 'Второй счет'!H:H, A20, 'Второй счет'!I:I, C20, 'Второй счет'!E:E, "Credit")</f>
        <v>3185</v>
      </c>
      <c r="E20" s="5">
        <f>SUMIFS('Второй счет'!F:F, 'Второй счет'!H:H, A20, 'Второй счет'!I:I, C20, 'Второй счет'!E:E, "Debit")</f>
        <v>2740</v>
      </c>
      <c r="F20" s="13">
        <f t="shared" si="0"/>
        <v>445</v>
      </c>
      <c r="G20" s="7">
        <f t="shared" si="2"/>
        <v>0.86028257456828883</v>
      </c>
    </row>
    <row r="21" spans="1:7" x14ac:dyDescent="0.3">
      <c r="A21">
        <v>2022</v>
      </c>
      <c r="B21" t="s">
        <v>1927</v>
      </c>
      <c r="C21">
        <f t="shared" si="1"/>
        <v>11</v>
      </c>
      <c r="D21" s="5">
        <f>SUMIFS('Второй счет'!F:F, 'Второй счет'!H:H, A21, 'Второй счет'!I:I, C21, 'Второй счет'!E:E, "Credit")</f>
        <v>3636</v>
      </c>
      <c r="E21" s="5">
        <f>SUMIFS('Второй счет'!F:F, 'Второй счет'!H:H, A21, 'Второй счет'!I:I, C21, 'Второй счет'!E:E, "Debit")</f>
        <v>3169</v>
      </c>
      <c r="F21" s="13">
        <f t="shared" si="0"/>
        <v>467</v>
      </c>
      <c r="G21" s="7">
        <f t="shared" si="2"/>
        <v>0.87156215621562161</v>
      </c>
    </row>
    <row r="22" spans="1:7" x14ac:dyDescent="0.3">
      <c r="A22">
        <v>2022</v>
      </c>
      <c r="B22" t="s">
        <v>1928</v>
      </c>
      <c r="C22">
        <f t="shared" si="1"/>
        <v>12</v>
      </c>
      <c r="D22" s="5">
        <f>SUMIFS('Второй счет'!F:F, 'Второй счет'!H:H, A22, 'Второй счет'!I:I, C22, 'Второй счет'!E:E, "Credit")</f>
        <v>3529</v>
      </c>
      <c r="E22" s="5">
        <f>SUMIFS('Второй счет'!F:F, 'Второй счет'!H:H, A22, 'Второй счет'!I:I, C22, 'Второй счет'!E:E, "Debit")</f>
        <v>2778</v>
      </c>
      <c r="F22" s="13">
        <f t="shared" si="0"/>
        <v>751</v>
      </c>
      <c r="G22" s="7">
        <f t="shared" si="2"/>
        <v>0.78719183904788892</v>
      </c>
    </row>
    <row r="23" spans="1:7" x14ac:dyDescent="0.3">
      <c r="D23" s="5"/>
      <c r="E23" s="5"/>
      <c r="F23" s="13"/>
      <c r="G23" s="7"/>
    </row>
    <row r="24" spans="1:7" x14ac:dyDescent="0.3">
      <c r="A24">
        <v>2023</v>
      </c>
      <c r="B24" t="s">
        <v>1917</v>
      </c>
      <c r="C24">
        <v>1</v>
      </c>
      <c r="D24" s="5">
        <f>SUMIFS('Второй счет'!F:F, 'Второй счет'!H:H, A24, 'Второй счет'!I:I, C24, 'Второй счет'!E:E, "Credit")</f>
        <v>5068</v>
      </c>
      <c r="E24" s="5">
        <f>SUMIFS('Второй счет'!F:F, 'Второй счет'!H:H, A24, 'Второй счет'!I:I, C24, 'Второй счет'!E:E, "Debit")</f>
        <v>4349</v>
      </c>
      <c r="F24" s="13">
        <f t="shared" si="0"/>
        <v>719</v>
      </c>
      <c r="G24" s="7">
        <f t="shared" si="2"/>
        <v>0.85812943962115229</v>
      </c>
    </row>
    <row r="25" spans="1:7" x14ac:dyDescent="0.3">
      <c r="A25">
        <v>2023</v>
      </c>
      <c r="B25" t="s">
        <v>1918</v>
      </c>
      <c r="C25">
        <f>C24+1</f>
        <v>2</v>
      </c>
      <c r="D25" s="5">
        <f>SUMIFS('Второй счет'!F:F, 'Второй счет'!H:H, A25, 'Второй счет'!I:I, C25, 'Второй счет'!E:E, "Credit")</f>
        <v>5147</v>
      </c>
      <c r="E25" s="5">
        <f>SUMIFS('Второй счет'!F:F, 'Второй счет'!H:H, A25, 'Второй счет'!I:I, C25, 'Второй счет'!E:E, "Debit")</f>
        <v>4470</v>
      </c>
      <c r="F25" s="13">
        <f t="shared" si="0"/>
        <v>677</v>
      </c>
      <c r="G25" s="7">
        <f t="shared" si="2"/>
        <v>0.86846706819506514</v>
      </c>
    </row>
    <row r="26" spans="1:7" x14ac:dyDescent="0.3">
      <c r="A26">
        <v>2023</v>
      </c>
      <c r="B26" t="s">
        <v>1919</v>
      </c>
      <c r="C26">
        <f t="shared" ref="C26:C35" si="3">C25+1</f>
        <v>3</v>
      </c>
      <c r="D26" s="5">
        <f>SUMIFS('Второй счет'!F:F, 'Второй счет'!H:H, A26, 'Второй счет'!I:I, C26, 'Второй счет'!E:E, "Credit")</f>
        <v>4622</v>
      </c>
      <c r="E26" s="5">
        <f>SUMIFS('Второй счет'!F:F, 'Второй счет'!H:H, A26, 'Второй счет'!I:I, C26, 'Второй счет'!E:E, "Debit")</f>
        <v>4125</v>
      </c>
      <c r="F26" s="13">
        <f t="shared" si="0"/>
        <v>497</v>
      </c>
      <c r="G26" s="7">
        <f t="shared" si="2"/>
        <v>0.89247079186499356</v>
      </c>
    </row>
    <row r="27" spans="1:7" x14ac:dyDescent="0.3">
      <c r="A27">
        <v>2023</v>
      </c>
      <c r="B27" t="s">
        <v>1920</v>
      </c>
      <c r="C27">
        <f t="shared" si="3"/>
        <v>4</v>
      </c>
      <c r="D27" s="5">
        <f>SUMIFS('Второй счет'!F:F, 'Второй счет'!H:H, A27, 'Второй счет'!I:I, C27, 'Второй счет'!E:E, "Credit")</f>
        <v>3939</v>
      </c>
      <c r="E27" s="5">
        <f>SUMIFS('Второй счет'!F:F, 'Второй счет'!H:H, A27, 'Второй счет'!I:I, C27, 'Второй счет'!E:E, "Debit")</f>
        <v>3214</v>
      </c>
      <c r="F27" s="13">
        <f t="shared" si="0"/>
        <v>725</v>
      </c>
      <c r="G27" s="7">
        <f t="shared" si="2"/>
        <v>0.81594313277481589</v>
      </c>
    </row>
    <row r="28" spans="1:7" x14ac:dyDescent="0.3">
      <c r="A28">
        <v>2023</v>
      </c>
      <c r="B28" t="s">
        <v>1921</v>
      </c>
      <c r="C28">
        <f t="shared" si="3"/>
        <v>5</v>
      </c>
      <c r="D28" s="5">
        <f>SUMIFS('Второй счет'!F:F, 'Второй счет'!H:H, A28, 'Второй счет'!I:I, C28, 'Второй счет'!E:E, "Credit")</f>
        <v>5381</v>
      </c>
      <c r="E28" s="5">
        <f>SUMIFS('Второй счет'!F:F, 'Второй счет'!H:H, A28, 'Второй счет'!I:I, C28, 'Второй счет'!E:E, "Debit")</f>
        <v>5180</v>
      </c>
      <c r="F28" s="13">
        <f t="shared" si="0"/>
        <v>201</v>
      </c>
      <c r="G28" s="7">
        <f t="shared" si="2"/>
        <v>0.96264634826240481</v>
      </c>
    </row>
    <row r="29" spans="1:7" x14ac:dyDescent="0.3">
      <c r="A29">
        <v>2023</v>
      </c>
      <c r="B29" t="s">
        <v>1922</v>
      </c>
      <c r="C29">
        <f t="shared" si="3"/>
        <v>6</v>
      </c>
      <c r="D29" s="5">
        <f>SUMIFS('Второй счет'!F:F, 'Второй счет'!H:H, A29, 'Второй счет'!I:I, C29, 'Второй счет'!E:E, "Credit")</f>
        <v>3374</v>
      </c>
      <c r="E29" s="5">
        <f>SUMIFS('Второй счет'!F:F, 'Второй счет'!H:H, A29, 'Второй счет'!I:I, C29, 'Второй счет'!E:E, "Debit")</f>
        <v>2882</v>
      </c>
      <c r="F29" s="13">
        <f t="shared" si="0"/>
        <v>492</v>
      </c>
      <c r="G29" s="7">
        <f t="shared" si="2"/>
        <v>0.85417901600474211</v>
      </c>
    </row>
    <row r="30" spans="1:7" x14ac:dyDescent="0.3">
      <c r="A30">
        <v>2023</v>
      </c>
      <c r="B30" t="s">
        <v>1923</v>
      </c>
      <c r="C30">
        <f t="shared" si="3"/>
        <v>7</v>
      </c>
      <c r="D30" s="5">
        <f>SUMIFS('Второй счет'!F:F, 'Второй счет'!H:H, A30, 'Второй счет'!I:I, C30, 'Второй счет'!E:E, "Credit")</f>
        <v>5884</v>
      </c>
      <c r="E30" s="5">
        <f>SUMIFS('Второй счет'!F:F, 'Второй счет'!H:H, A30, 'Второй счет'!I:I, C30, 'Второй счет'!E:E, "Debit")</f>
        <v>5132</v>
      </c>
      <c r="F30" s="13">
        <f t="shared" si="0"/>
        <v>752</v>
      </c>
      <c r="G30" s="7">
        <f t="shared" si="2"/>
        <v>0.87219578518014951</v>
      </c>
    </row>
    <row r="31" spans="1:7" x14ac:dyDescent="0.3">
      <c r="A31">
        <v>2023</v>
      </c>
      <c r="B31" t="s">
        <v>1924</v>
      </c>
      <c r="C31">
        <f t="shared" si="3"/>
        <v>8</v>
      </c>
      <c r="D31" s="5">
        <f>SUMIFS('Второй счет'!F:F, 'Второй счет'!H:H, A31, 'Второй счет'!I:I, C31, 'Второй счет'!E:E, "Credit")</f>
        <v>5365</v>
      </c>
      <c r="E31" s="5">
        <f>SUMIFS('Второй счет'!F:F, 'Второй счет'!H:H, A31, 'Второй счет'!I:I, C31, 'Второй счет'!E:E, "Debit")</f>
        <v>4664</v>
      </c>
      <c r="F31" s="13">
        <f t="shared" si="0"/>
        <v>701</v>
      </c>
      <c r="G31" s="7">
        <f t="shared" si="2"/>
        <v>0.86933830382106247</v>
      </c>
    </row>
    <row r="32" spans="1:7" x14ac:dyDescent="0.3">
      <c r="A32">
        <v>2023</v>
      </c>
      <c r="B32" t="s">
        <v>1925</v>
      </c>
      <c r="C32">
        <f t="shared" si="3"/>
        <v>9</v>
      </c>
      <c r="D32" s="5">
        <f>SUMIFS('Второй счет'!F:F, 'Второй счет'!H:H, A32, 'Второй счет'!I:I, C32, 'Второй счет'!E:E, "Credit")</f>
        <v>4851</v>
      </c>
      <c r="E32" s="5">
        <f>SUMIFS('Второй счет'!F:F, 'Второй счет'!H:H, A32, 'Второй счет'!I:I, C32, 'Второй счет'!E:E, "Debit")</f>
        <v>4271</v>
      </c>
      <c r="F32" s="13">
        <f t="shared" si="0"/>
        <v>580</v>
      </c>
      <c r="G32" s="7">
        <f t="shared" si="2"/>
        <v>0.88043702329416618</v>
      </c>
    </row>
    <row r="33" spans="1:7" x14ac:dyDescent="0.3">
      <c r="A33">
        <v>2023</v>
      </c>
      <c r="B33" t="s">
        <v>1926</v>
      </c>
      <c r="C33">
        <f t="shared" si="3"/>
        <v>10</v>
      </c>
      <c r="D33" s="5">
        <f>SUMIFS('Второй счет'!F:F, 'Второй счет'!H:H, A33, 'Второй счет'!I:I, C33, 'Второй счет'!E:E, "Credit")</f>
        <v>4646</v>
      </c>
      <c r="E33" s="5">
        <f>SUMIFS('Второй счет'!F:F, 'Второй счет'!H:H, A33, 'Второй счет'!I:I, C33, 'Второй счет'!E:E, "Debit")</f>
        <v>4433</v>
      </c>
      <c r="F33" s="13">
        <f t="shared" si="0"/>
        <v>213</v>
      </c>
      <c r="G33" s="7">
        <f t="shared" si="2"/>
        <v>0.95415411106328019</v>
      </c>
    </row>
    <row r="34" spans="1:7" x14ac:dyDescent="0.3">
      <c r="A34">
        <v>2023</v>
      </c>
      <c r="B34" t="s">
        <v>1927</v>
      </c>
      <c r="C34">
        <f t="shared" si="3"/>
        <v>11</v>
      </c>
      <c r="D34" s="5">
        <f>SUMIFS('Второй счет'!F:F, 'Второй счет'!H:H, A34, 'Второй счет'!I:I, C34, 'Второй счет'!E:E, "Credit")</f>
        <v>3503</v>
      </c>
      <c r="E34" s="5">
        <f>SUMIFS('Второй счет'!F:F, 'Второй счет'!H:H, A34, 'Второй счет'!I:I, C34, 'Второй счет'!E:E, "Debit")</f>
        <v>3073</v>
      </c>
      <c r="F34" s="13">
        <f t="shared" si="0"/>
        <v>430</v>
      </c>
      <c r="G34" s="7">
        <f t="shared" si="2"/>
        <v>0.87724807308021691</v>
      </c>
    </row>
    <row r="35" spans="1:7" x14ac:dyDescent="0.3">
      <c r="A35">
        <v>2023</v>
      </c>
      <c r="B35" t="s">
        <v>1928</v>
      </c>
      <c r="C35">
        <f t="shared" si="3"/>
        <v>12</v>
      </c>
      <c r="D35" s="5">
        <f>SUMIFS('Второй счет'!F:F, 'Второй счет'!H:H, A35, 'Второй счет'!I:I, C35, 'Второй счет'!E:E, "Credit")</f>
        <v>5008</v>
      </c>
      <c r="E35" s="5">
        <f>SUMIFS('Второй счет'!F:F, 'Второй счет'!H:H, A35, 'Второй счет'!I:I, C35, 'Второй счет'!E:E, "Debit")</f>
        <v>4725</v>
      </c>
      <c r="F35" s="13">
        <f t="shared" si="0"/>
        <v>283</v>
      </c>
      <c r="G35" s="7">
        <f t="shared" si="2"/>
        <v>0.94349041533546329</v>
      </c>
    </row>
    <row r="36" spans="1:7" x14ac:dyDescent="0.3">
      <c r="A36" s="11" t="s">
        <v>1959</v>
      </c>
      <c r="B36" s="11"/>
      <c r="C36" s="11"/>
      <c r="D36" s="11"/>
      <c r="E36" s="11"/>
      <c r="F36" s="11"/>
      <c r="G36" s="11"/>
    </row>
    <row r="37" spans="1:7" x14ac:dyDescent="0.3">
      <c r="A37" s="12" t="s">
        <v>1874</v>
      </c>
      <c r="B37" s="12">
        <v>2022</v>
      </c>
      <c r="C37" s="12">
        <v>2023</v>
      </c>
      <c r="D37" s="12" t="s">
        <v>1960</v>
      </c>
    </row>
    <row r="38" spans="1:7" x14ac:dyDescent="0.3">
      <c r="A38" t="s">
        <v>1877</v>
      </c>
      <c r="B38" s="5">
        <f>SUMIFS('Второй счет'!F:F, 'Второй счет'!H:H, 2022, 'Второй счет'!E:E, "Credit")</f>
        <v>53829</v>
      </c>
      <c r="C38" s="5">
        <f>SUMIFS('Второй счет'!F:F, 'Второй счет'!H:H, 2023, 'Второй счет'!E:E, "Credit")</f>
        <v>56788</v>
      </c>
      <c r="D38" s="7">
        <f>IFERROR((C38-B38)/B38, 0)</f>
        <v>5.4970369131880588E-2</v>
      </c>
    </row>
    <row r="39" spans="1:7" x14ac:dyDescent="0.3">
      <c r="A39" t="s">
        <v>1886</v>
      </c>
      <c r="B39" s="5">
        <f>SUMIFS('Второй счет'!F:F, 'Второй счет'!H:H, 2022, 'Второй счет'!E:E, "Debit")</f>
        <v>47293</v>
      </c>
      <c r="C39" s="5">
        <f>SUMIFS('Второй счет'!F:F, 'Второй счет'!H:H, 2023, 'Второй счет'!E:E, "Debit")</f>
        <v>50518</v>
      </c>
      <c r="D39" s="7">
        <f>IFERROR((C39-B39)/B39, 0)</f>
        <v>6.819191000782357E-2</v>
      </c>
    </row>
    <row r="40" spans="1:7" x14ac:dyDescent="0.3">
      <c r="A40" t="s">
        <v>1977</v>
      </c>
      <c r="B40" s="13">
        <f>B38-B39</f>
        <v>6536</v>
      </c>
      <c r="C40" s="13">
        <f>C38-C39</f>
        <v>6270</v>
      </c>
      <c r="D40" s="7">
        <f>IFERROR((C40-B40)/B40, 0)</f>
        <v>-4.0697674418604654E-2</v>
      </c>
    </row>
  </sheetData>
  <mergeCells count="3">
    <mergeCell ref="A36:G36"/>
    <mergeCell ref="A9:G9"/>
    <mergeCell ref="A1: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C53A-7862-42C6-80BA-B5CC9BC51652}">
  <dimension ref="A1:G59"/>
  <sheetViews>
    <sheetView topLeftCell="A43" workbookViewId="0">
      <selection activeCell="A52" sqref="A52"/>
    </sheetView>
  </sheetViews>
  <sheetFormatPr defaultRowHeight="14.4" x14ac:dyDescent="0.3"/>
  <cols>
    <col min="1" max="2" width="17.77734375" customWidth="1"/>
  </cols>
  <sheetData>
    <row r="1" spans="1:7" x14ac:dyDescent="0.3">
      <c r="A1" s="11" t="s">
        <v>1947</v>
      </c>
      <c r="B1" s="11"/>
      <c r="C1" s="11"/>
      <c r="D1" s="11"/>
      <c r="E1" s="11"/>
      <c r="F1" s="11"/>
      <c r="G1" s="11"/>
    </row>
    <row r="2" spans="1:7" x14ac:dyDescent="0.3">
      <c r="A2" t="s">
        <v>1894</v>
      </c>
      <c r="B2" s="5">
        <f>SUM(Зарплаты!F:F)</f>
        <v>159854</v>
      </c>
    </row>
    <row r="3" spans="1:7" x14ac:dyDescent="0.3">
      <c r="A3" t="s">
        <v>1948</v>
      </c>
      <c r="B3" s="5">
        <f>SUMIF(Зарплаты!N:N,TRUE,Зарплаты!F:F)</f>
        <v>132001</v>
      </c>
    </row>
    <row r="4" spans="1:7" x14ac:dyDescent="0.3">
      <c r="A4" t="s">
        <v>1949</v>
      </c>
      <c r="B4" s="5">
        <f>SUMIF(Зарплаты!O:O,TRUE,Зарплаты!F:F)</f>
        <v>27853</v>
      </c>
    </row>
    <row r="5" spans="1:7" x14ac:dyDescent="0.3">
      <c r="A5" t="s">
        <v>1951</v>
      </c>
      <c r="B5" s="5">
        <f>COUNTA(Зарплаты!F:F)-1</f>
        <v>92</v>
      </c>
    </row>
    <row r="6" spans="1:7" x14ac:dyDescent="0.3">
      <c r="A6" t="s">
        <v>1952</v>
      </c>
      <c r="B6" s="5">
        <f>COUNTIF(Зарплаты!N:N,TRUE)</f>
        <v>69</v>
      </c>
    </row>
    <row r="7" spans="1:7" x14ac:dyDescent="0.3">
      <c r="A7" t="s">
        <v>1953</v>
      </c>
      <c r="B7" s="5">
        <f>COUNTIF(Зарплаты!O:O,TRUE)</f>
        <v>23</v>
      </c>
    </row>
    <row r="8" spans="1:7" x14ac:dyDescent="0.3">
      <c r="A8" t="s">
        <v>1950</v>
      </c>
      <c r="B8" s="5">
        <f>B2/B5</f>
        <v>1737.5434782608695</v>
      </c>
    </row>
    <row r="9" spans="1:7" x14ac:dyDescent="0.3">
      <c r="A9" t="s">
        <v>1954</v>
      </c>
      <c r="B9" s="13">
        <f>B3/B6</f>
        <v>1913.0579710144928</v>
      </c>
    </row>
    <row r="10" spans="1:7" x14ac:dyDescent="0.3">
      <c r="A10" t="s">
        <v>1955</v>
      </c>
      <c r="B10" s="13">
        <f>B4/B7</f>
        <v>1211</v>
      </c>
    </row>
    <row r="11" spans="1:7" x14ac:dyDescent="0.3">
      <c r="A11" s="11" t="s">
        <v>1956</v>
      </c>
      <c r="B11" s="11"/>
      <c r="C11" s="11"/>
      <c r="D11" s="11"/>
      <c r="E11" s="11"/>
      <c r="F11" s="11"/>
      <c r="G11" s="11"/>
    </row>
    <row r="12" spans="1:7" x14ac:dyDescent="0.3">
      <c r="A12" s="12" t="s">
        <v>1911</v>
      </c>
      <c r="B12" s="12" t="s">
        <v>1912</v>
      </c>
      <c r="C12" s="12" t="s">
        <v>1929</v>
      </c>
      <c r="D12" s="12" t="s">
        <v>1896</v>
      </c>
      <c r="E12" s="12" t="s">
        <v>1898</v>
      </c>
      <c r="F12" s="12" t="s">
        <v>1957</v>
      </c>
      <c r="G12" s="12" t="s">
        <v>1958</v>
      </c>
    </row>
    <row r="13" spans="1:7" x14ac:dyDescent="0.3">
      <c r="A13">
        <v>2022</v>
      </c>
      <c r="B13" t="s">
        <v>1917</v>
      </c>
      <c r="C13">
        <v>1</v>
      </c>
      <c r="D13" s="5">
        <f>SUMIFS(Зарплаты!F:F, Зарплаты!H:H, A13, Зарплаты!I:I, C13, Зарплаты!N:N, TRUE)</f>
        <v>0</v>
      </c>
      <c r="E13" s="5">
        <f>SUMIFS(Зарплаты!F:F, Зарплаты!H:H, A13, Зарплаты!I:I, C13, Зарплаты!O:O, TRUE)</f>
        <v>0</v>
      </c>
      <c r="F13">
        <f>D13+E13</f>
        <v>0</v>
      </c>
      <c r="G13" s="5">
        <f>IFERROR(E13/F13, 0)</f>
        <v>0</v>
      </c>
    </row>
    <row r="14" spans="1:7" x14ac:dyDescent="0.3">
      <c r="A14">
        <v>2022</v>
      </c>
      <c r="B14" t="s">
        <v>1918</v>
      </c>
      <c r="C14">
        <f>C13+1</f>
        <v>2</v>
      </c>
      <c r="D14" s="5">
        <f>SUMIFS(Зарплаты!F:F, Зарплаты!H:H, A14, Зарплаты!I:I, C14, Зарплаты!N:N, TRUE)</f>
        <v>5868</v>
      </c>
      <c r="E14" s="5">
        <f>SUMIFS(Зарплаты!F:F, Зарплаты!H:H, A14, Зарплаты!I:I, C14, Зарплаты!O:O, TRUE)</f>
        <v>1134</v>
      </c>
      <c r="F14">
        <f t="shared" ref="F14:F23" si="0">D14+E14</f>
        <v>7002</v>
      </c>
      <c r="G14" s="7">
        <f>IFERROR(E14/F14, 0)</f>
        <v>0.16195372750642673</v>
      </c>
    </row>
    <row r="15" spans="1:7" x14ac:dyDescent="0.3">
      <c r="A15">
        <v>2022</v>
      </c>
      <c r="B15" t="s">
        <v>1919</v>
      </c>
      <c r="C15">
        <f t="shared" ref="C15:C23" si="1">C14+1</f>
        <v>3</v>
      </c>
      <c r="D15" s="5">
        <f>SUMIFS(Зарплаты!F:F, Зарплаты!H:H, A15, Зарплаты!I:I, C15, Зарплаты!N:N, TRUE)</f>
        <v>5897</v>
      </c>
      <c r="E15" s="5">
        <f>SUMIFS(Зарплаты!F:F, Зарплаты!H:H, A15, Зарплаты!I:I, C15, Зарплаты!O:O, TRUE)</f>
        <v>1166</v>
      </c>
      <c r="F15">
        <f t="shared" si="0"/>
        <v>7063</v>
      </c>
      <c r="G15" s="7">
        <f t="shared" ref="G14:G24" si="2">IFERROR(E15/F15, 0)</f>
        <v>0.16508565765255556</v>
      </c>
    </row>
    <row r="16" spans="1:7" x14ac:dyDescent="0.3">
      <c r="A16">
        <v>2022</v>
      </c>
      <c r="B16" t="s">
        <v>1920</v>
      </c>
      <c r="C16">
        <f t="shared" si="1"/>
        <v>4</v>
      </c>
      <c r="D16" s="5">
        <f>SUMIFS(Зарплаты!F:F, Зарплаты!H:H, A16, Зарплаты!I:I, C16, Зарплаты!N:N, TRUE)</f>
        <v>5714</v>
      </c>
      <c r="E16" s="5">
        <f>SUMIFS(Зарплаты!F:F, Зарплаты!H:H, A16, Зарплаты!I:I, C16, Зарплаты!O:O, TRUE)</f>
        <v>1113</v>
      </c>
      <c r="F16">
        <f t="shared" si="0"/>
        <v>6827</v>
      </c>
      <c r="G16" s="7">
        <f t="shared" si="2"/>
        <v>0.16302914896733559</v>
      </c>
    </row>
    <row r="17" spans="1:7" x14ac:dyDescent="0.3">
      <c r="A17">
        <v>2022</v>
      </c>
      <c r="B17" t="s">
        <v>1921</v>
      </c>
      <c r="C17">
        <f t="shared" si="1"/>
        <v>5</v>
      </c>
      <c r="D17" s="5">
        <f>SUMIFS(Зарплаты!F:F, Зарплаты!H:H, A17, Зарплаты!I:I, C17, Зарплаты!N:N, TRUE)</f>
        <v>5812</v>
      </c>
      <c r="E17" s="5">
        <f>SUMIFS(Зарплаты!F:F, Зарплаты!H:H, A17, Зарплаты!I:I, C17, Зарплаты!O:O, TRUE)</f>
        <v>1262</v>
      </c>
      <c r="F17">
        <f t="shared" si="0"/>
        <v>7074</v>
      </c>
      <c r="G17" s="7">
        <f t="shared" si="2"/>
        <v>0.17839977381962116</v>
      </c>
    </row>
    <row r="18" spans="1:7" x14ac:dyDescent="0.3">
      <c r="A18">
        <v>2022</v>
      </c>
      <c r="B18" t="s">
        <v>1922</v>
      </c>
      <c r="C18">
        <f t="shared" si="1"/>
        <v>6</v>
      </c>
      <c r="D18" s="5">
        <f>SUMIFS(Зарплаты!F:F, Зарплаты!H:H, A18, Зарплаты!I:I, C18, Зарплаты!N:N, TRUE)</f>
        <v>5734</v>
      </c>
      <c r="E18" s="5">
        <f>SUMIFS(Зарплаты!F:F, Зарплаты!H:H, A18, Зарплаты!I:I, C18, Зарплаты!O:O, TRUE)</f>
        <v>1262</v>
      </c>
      <c r="F18">
        <f t="shared" si="0"/>
        <v>6996</v>
      </c>
      <c r="G18" s="7">
        <f t="shared" si="2"/>
        <v>0.18038879359634077</v>
      </c>
    </row>
    <row r="19" spans="1:7" x14ac:dyDescent="0.3">
      <c r="A19">
        <v>2022</v>
      </c>
      <c r="B19" t="s">
        <v>1923</v>
      </c>
      <c r="C19">
        <f t="shared" si="1"/>
        <v>7</v>
      </c>
      <c r="D19" s="5">
        <f>SUMIFS(Зарплаты!F:F, Зарплаты!H:H, A19, Зарплаты!I:I, C19, Зарплаты!N:N, TRUE)</f>
        <v>5502</v>
      </c>
      <c r="E19" s="5">
        <f>SUMIFS(Зарплаты!F:F, Зарплаты!H:H, A19, Зарплаты!I:I, C19, Зарплаты!O:O, TRUE)</f>
        <v>1293</v>
      </c>
      <c r="F19">
        <f t="shared" si="0"/>
        <v>6795</v>
      </c>
      <c r="G19" s="7">
        <f t="shared" si="2"/>
        <v>0.1902869757174393</v>
      </c>
    </row>
    <row r="20" spans="1:7" x14ac:dyDescent="0.3">
      <c r="A20">
        <v>2022</v>
      </c>
      <c r="B20" t="s">
        <v>1924</v>
      </c>
      <c r="C20">
        <f t="shared" si="1"/>
        <v>8</v>
      </c>
      <c r="D20" s="5">
        <f>SUMIFS(Зарплаты!F:F, Зарплаты!H:H, A20, Зарплаты!I:I, C20, Зарплаты!N:N, TRUE)</f>
        <v>5559</v>
      </c>
      <c r="E20" s="5">
        <f>SUMIFS(Зарплаты!F:F, Зарплаты!H:H, A20, Зарплаты!I:I, C20, Зарплаты!O:O, TRUE)</f>
        <v>1263</v>
      </c>
      <c r="F20">
        <f t="shared" si="0"/>
        <v>6822</v>
      </c>
      <c r="G20" s="7">
        <f t="shared" si="2"/>
        <v>0.1851363236587511</v>
      </c>
    </row>
    <row r="21" spans="1:7" x14ac:dyDescent="0.3">
      <c r="A21">
        <v>2022</v>
      </c>
      <c r="B21" t="s">
        <v>1925</v>
      </c>
      <c r="C21">
        <f t="shared" si="1"/>
        <v>9</v>
      </c>
      <c r="D21" s="5">
        <f>SUMIFS(Зарплаты!F:F, Зарплаты!H:H, A21, Зарплаты!I:I, C21, Зарплаты!N:N, TRUE)</f>
        <v>5621</v>
      </c>
      <c r="E21" s="5">
        <f>SUMIFS(Зарплаты!F:F, Зарплаты!H:H, A21, Зарплаты!I:I, C21, Зарплаты!O:O, TRUE)</f>
        <v>1209</v>
      </c>
      <c r="F21">
        <f t="shared" si="0"/>
        <v>6830</v>
      </c>
      <c r="G21" s="7">
        <f t="shared" si="2"/>
        <v>0.17701317715959006</v>
      </c>
    </row>
    <row r="22" spans="1:7" x14ac:dyDescent="0.3">
      <c r="A22">
        <v>2022</v>
      </c>
      <c r="B22" t="s">
        <v>1926</v>
      </c>
      <c r="C22">
        <f t="shared" si="1"/>
        <v>10</v>
      </c>
      <c r="D22" s="5">
        <f>SUMIFS(Зарплаты!F:F, Зарплаты!H:H, A22, Зарплаты!I:I, C22, Зарплаты!N:N, TRUE)</f>
        <v>5706</v>
      </c>
      <c r="E22" s="5">
        <f>SUMIFS(Зарплаты!F:F, Зарплаты!H:H, A22, Зарплаты!I:I, C22, Зарплаты!O:O, TRUE)</f>
        <v>1279</v>
      </c>
      <c r="F22">
        <f t="shared" si="0"/>
        <v>6985</v>
      </c>
      <c r="G22" s="7">
        <f t="shared" si="2"/>
        <v>0.18310665712240515</v>
      </c>
    </row>
    <row r="23" spans="1:7" x14ac:dyDescent="0.3">
      <c r="A23">
        <v>2022</v>
      </c>
      <c r="B23" t="s">
        <v>1927</v>
      </c>
      <c r="C23">
        <f t="shared" si="1"/>
        <v>11</v>
      </c>
      <c r="D23" s="5">
        <f>SUMIFS(Зарплаты!F:F, Зарплаты!H:H, A23, Зарплаты!I:I, C23, Зарплаты!N:N, TRUE)</f>
        <v>5881</v>
      </c>
      <c r="E23" s="5">
        <f>SUMIFS(Зарплаты!F:F, Зарплаты!H:H, A23, Зарплаты!I:I, C23, Зарплаты!O:O, TRUE)</f>
        <v>1124</v>
      </c>
      <c r="F23">
        <f t="shared" si="0"/>
        <v>7005</v>
      </c>
      <c r="G23" s="7">
        <f t="shared" si="2"/>
        <v>0.16045681655960028</v>
      </c>
    </row>
    <row r="24" spans="1:7" x14ac:dyDescent="0.3">
      <c r="A24">
        <v>2022</v>
      </c>
      <c r="B24" t="s">
        <v>1928</v>
      </c>
      <c r="C24">
        <f>C23+1</f>
        <v>12</v>
      </c>
      <c r="D24" s="5">
        <f>SUMIFS(Зарплаты!F:F, Зарплаты!H:H, A24, Зарплаты!I:I, C24, Зарплаты!N:N, TRUE)</f>
        <v>5841</v>
      </c>
      <c r="E24" s="5">
        <f>SUMIFS(Зарплаты!F:F, Зарплаты!H:H, A24, Зарплаты!I:I, C24, Зарплаты!O:O, TRUE)</f>
        <v>1248</v>
      </c>
      <c r="F24">
        <f>D24+E24</f>
        <v>7089</v>
      </c>
      <c r="G24" s="7">
        <f t="shared" si="2"/>
        <v>0.17604739737621666</v>
      </c>
    </row>
    <row r="25" spans="1:7" x14ac:dyDescent="0.3">
      <c r="D25" s="5"/>
      <c r="E25" s="5"/>
      <c r="G25" s="7"/>
    </row>
    <row r="26" spans="1:7" x14ac:dyDescent="0.3">
      <c r="A26">
        <v>2023</v>
      </c>
      <c r="B26" t="s">
        <v>1917</v>
      </c>
      <c r="C26">
        <v>1</v>
      </c>
      <c r="D26">
        <f>SUMIFS(Зарплаты!F:F, Зарплаты!H:H, A26, Зарплаты!I:I, C26, Зарплаты!N:N, TRUE)</f>
        <v>5747</v>
      </c>
      <c r="E26">
        <f>SUMIFS(Зарплаты!F:F, Зарплаты!H:H, A26, Зарплаты!I:I, C26, Зарплаты!O:O, TRUE)</f>
        <v>1167</v>
      </c>
      <c r="F26">
        <f>D26+E26</f>
        <v>6914</v>
      </c>
      <c r="G26" s="7">
        <f>IFERROR(E26/F26, 0)</f>
        <v>0.16878796644489441</v>
      </c>
    </row>
    <row r="27" spans="1:7" x14ac:dyDescent="0.3">
      <c r="A27">
        <v>2023</v>
      </c>
      <c r="B27" t="s">
        <v>1918</v>
      </c>
      <c r="C27">
        <f>C26+1</f>
        <v>2</v>
      </c>
      <c r="D27">
        <f>SUMIFS(Зарплаты!F:F, Зарплаты!H:H, A27, Зарплаты!I:I, C27, Зарплаты!N:N, TRUE)</f>
        <v>5820</v>
      </c>
      <c r="E27">
        <f>SUMIFS(Зарплаты!F:F, Зарплаты!H:H, A27, Зарплаты!I:I, C27, Зарплаты!O:O, TRUE)</f>
        <v>1131</v>
      </c>
      <c r="F27">
        <f t="shared" ref="F27:F37" si="3">D27+E27</f>
        <v>6951</v>
      </c>
      <c r="G27" s="7">
        <f t="shared" ref="G27:G37" si="4">IFERROR(E27/F27, 0)</f>
        <v>0.16271040138109624</v>
      </c>
    </row>
    <row r="28" spans="1:7" x14ac:dyDescent="0.3">
      <c r="A28">
        <v>2023</v>
      </c>
      <c r="B28" t="s">
        <v>1919</v>
      </c>
      <c r="C28">
        <f t="shared" ref="C28:C37" si="5">C27+1</f>
        <v>3</v>
      </c>
      <c r="D28">
        <f>SUMIFS(Зарплаты!F:F, Зарплаты!H:H, A28, Зарплаты!I:I, C28, Зарплаты!N:N, TRUE)</f>
        <v>5763</v>
      </c>
      <c r="E28">
        <f>SUMIFS(Зарплаты!F:F, Зарплаты!H:H, A28, Зарплаты!I:I, C28, Зарплаты!O:O, TRUE)</f>
        <v>1240</v>
      </c>
      <c r="F28">
        <f t="shared" si="3"/>
        <v>7003</v>
      </c>
      <c r="G28" s="7">
        <f t="shared" si="4"/>
        <v>0.17706697129801513</v>
      </c>
    </row>
    <row r="29" spans="1:7" x14ac:dyDescent="0.3">
      <c r="A29">
        <v>2023</v>
      </c>
      <c r="B29" t="s">
        <v>1920</v>
      </c>
      <c r="C29">
        <f t="shared" si="5"/>
        <v>4</v>
      </c>
      <c r="D29">
        <f>SUMIFS(Зарплаты!F:F, Зарплаты!H:H, A29, Зарплаты!I:I, C29, Зарплаты!N:N, TRUE)</f>
        <v>5576</v>
      </c>
      <c r="E29">
        <f>SUMIFS(Зарплаты!F:F, Зарплаты!H:H, A29, Зарплаты!I:I, C29, Зарплаты!O:O, TRUE)</f>
        <v>1245</v>
      </c>
      <c r="F29">
        <f t="shared" si="3"/>
        <v>6821</v>
      </c>
      <c r="G29" s="7">
        <f t="shared" si="4"/>
        <v>0.18252455651663979</v>
      </c>
    </row>
    <row r="30" spans="1:7" x14ac:dyDescent="0.3">
      <c r="A30">
        <v>2023</v>
      </c>
      <c r="B30" t="s">
        <v>1921</v>
      </c>
      <c r="C30">
        <f t="shared" si="5"/>
        <v>5</v>
      </c>
      <c r="D30">
        <f>SUMIFS(Зарплаты!F:F, Зарплаты!H:H, A30, Зарплаты!I:I, C30, Зарплаты!N:N, TRUE)</f>
        <v>5832</v>
      </c>
      <c r="E30">
        <f>SUMIFS(Зарплаты!F:F, Зарплаты!H:H, A30, Зарплаты!I:I, C30, Зарплаты!O:O, TRUE)</f>
        <v>1259</v>
      </c>
      <c r="F30">
        <f t="shared" si="3"/>
        <v>7091</v>
      </c>
      <c r="G30" s="7">
        <f t="shared" si="4"/>
        <v>0.17754900578197716</v>
      </c>
    </row>
    <row r="31" spans="1:7" x14ac:dyDescent="0.3">
      <c r="A31">
        <v>2023</v>
      </c>
      <c r="B31" t="s">
        <v>1922</v>
      </c>
      <c r="C31">
        <f t="shared" si="5"/>
        <v>6</v>
      </c>
      <c r="D31">
        <f>SUMIFS(Зарплаты!F:F, Зарплаты!H:H, A31, Зарплаты!I:I, C31, Зарплаты!N:N, TRUE)</f>
        <v>5713</v>
      </c>
      <c r="E31">
        <f>SUMIFS(Зарплаты!F:F, Зарплаты!H:H, A31, Зарплаты!I:I, C31, Зарплаты!O:O, TRUE)</f>
        <v>1159</v>
      </c>
      <c r="F31">
        <f t="shared" si="3"/>
        <v>6872</v>
      </c>
      <c r="G31" s="7">
        <f t="shared" si="4"/>
        <v>0.16865541327124564</v>
      </c>
    </row>
    <row r="32" spans="1:7" x14ac:dyDescent="0.3">
      <c r="A32">
        <v>2023</v>
      </c>
      <c r="B32" t="s">
        <v>1923</v>
      </c>
      <c r="C32">
        <f t="shared" si="5"/>
        <v>7</v>
      </c>
      <c r="D32">
        <f>SUMIFS(Зарплаты!F:F, Зарплаты!H:H, A32, Зарплаты!I:I, C32, Зарплаты!N:N, TRUE)</f>
        <v>5634</v>
      </c>
      <c r="E32">
        <f>SUMIFS(Зарплаты!F:F, Зарплаты!H:H, A32, Зарплаты!I:I, C32, Зарплаты!O:O, TRUE)</f>
        <v>1261</v>
      </c>
      <c r="F32">
        <f t="shared" si="3"/>
        <v>6895</v>
      </c>
      <c r="G32" s="7">
        <f t="shared" si="4"/>
        <v>0.18288614938361131</v>
      </c>
    </row>
    <row r="33" spans="1:7" x14ac:dyDescent="0.3">
      <c r="A33">
        <v>2023</v>
      </c>
      <c r="B33" t="s">
        <v>1924</v>
      </c>
      <c r="C33">
        <f t="shared" si="5"/>
        <v>8</v>
      </c>
      <c r="D33">
        <f>SUMIFS(Зарплаты!F:F, Зарплаты!H:H, A33, Зарплаты!I:I, C33, Зарплаты!N:N, TRUE)</f>
        <v>5676</v>
      </c>
      <c r="E33">
        <f>SUMIFS(Зарплаты!F:F, Зарплаты!H:H, A33, Зарплаты!I:I, C33, Зарплаты!O:O, TRUE)</f>
        <v>1225</v>
      </c>
      <c r="F33">
        <f t="shared" si="3"/>
        <v>6901</v>
      </c>
      <c r="G33" s="7">
        <f t="shared" si="4"/>
        <v>0.17751050572380814</v>
      </c>
    </row>
    <row r="34" spans="1:7" x14ac:dyDescent="0.3">
      <c r="A34">
        <v>2023</v>
      </c>
      <c r="B34" t="s">
        <v>1925</v>
      </c>
      <c r="C34">
        <f t="shared" si="5"/>
        <v>9</v>
      </c>
      <c r="D34">
        <f>SUMIFS(Зарплаты!F:F, Зарплаты!H:H, A34, Зарплаты!I:I, C34, Зарплаты!N:N, TRUE)</f>
        <v>5795</v>
      </c>
      <c r="E34">
        <f>SUMIFS(Зарплаты!F:F, Зарплаты!H:H, A34, Зарплаты!I:I, C34, Зарплаты!O:O, TRUE)</f>
        <v>1155</v>
      </c>
      <c r="F34">
        <f t="shared" si="3"/>
        <v>6950</v>
      </c>
      <c r="G34" s="7">
        <f t="shared" si="4"/>
        <v>0.16618705035971224</v>
      </c>
    </row>
    <row r="35" spans="1:7" x14ac:dyDescent="0.3">
      <c r="A35">
        <v>2023</v>
      </c>
      <c r="B35" t="s">
        <v>1926</v>
      </c>
      <c r="C35">
        <f t="shared" si="5"/>
        <v>10</v>
      </c>
      <c r="D35">
        <f>SUMIFS(Зарплаты!F:F, Зарплаты!H:H, A35, Зарплаты!I:I, C35, Зарплаты!N:N, TRUE)</f>
        <v>5766</v>
      </c>
      <c r="E35">
        <f>SUMIFS(Зарплаты!F:F, Зарплаты!H:H, A35, Зарплаты!I:I, C35, Зарплаты!O:O, TRUE)</f>
        <v>1248</v>
      </c>
      <c r="F35">
        <f t="shared" si="3"/>
        <v>7014</v>
      </c>
      <c r="G35" s="7">
        <f t="shared" si="4"/>
        <v>0.17792985457656116</v>
      </c>
    </row>
    <row r="36" spans="1:7" x14ac:dyDescent="0.3">
      <c r="A36">
        <v>2023</v>
      </c>
      <c r="B36" t="s">
        <v>1927</v>
      </c>
      <c r="C36">
        <f t="shared" si="5"/>
        <v>11</v>
      </c>
      <c r="D36">
        <f>SUMIFS(Зарплаты!F:F, Зарплаты!H:H, A36, Зарплаты!I:I, C36, Зарплаты!N:N, TRUE)</f>
        <v>5866</v>
      </c>
      <c r="E36">
        <f>SUMIFS(Зарплаты!F:F, Зарплаты!H:H, A36, Зарплаты!I:I, C36, Зарплаты!O:O, TRUE)</f>
        <v>1214</v>
      </c>
      <c r="F36">
        <f t="shared" si="3"/>
        <v>7080</v>
      </c>
      <c r="G36" s="7">
        <f t="shared" si="4"/>
        <v>0.17146892655367232</v>
      </c>
    </row>
    <row r="37" spans="1:7" x14ac:dyDescent="0.3">
      <c r="A37">
        <v>2023</v>
      </c>
      <c r="B37" t="s">
        <v>1928</v>
      </c>
      <c r="C37">
        <f t="shared" si="5"/>
        <v>12</v>
      </c>
      <c r="D37">
        <f>SUMIFS(Зарплаты!F:F, Зарплаты!H:H, A37, Зарплаты!I:I, C37, Зарплаты!N:N, TRUE)</f>
        <v>5678</v>
      </c>
      <c r="E37">
        <f>SUMIFS(Зарплаты!F:F, Зарплаты!H:H, A37, Зарплаты!I:I, C37, Зарплаты!O:O, TRUE)</f>
        <v>1196</v>
      </c>
      <c r="F37">
        <f t="shared" si="3"/>
        <v>6874</v>
      </c>
      <c r="G37" s="7">
        <f t="shared" si="4"/>
        <v>0.17398894384637764</v>
      </c>
    </row>
    <row r="38" spans="1:7" x14ac:dyDescent="0.3">
      <c r="A38" s="11" t="s">
        <v>1959</v>
      </c>
      <c r="B38" s="11"/>
      <c r="C38" s="11"/>
      <c r="D38" s="11"/>
      <c r="E38" s="11"/>
      <c r="F38" s="11"/>
      <c r="G38" s="11"/>
    </row>
    <row r="39" spans="1:7" x14ac:dyDescent="0.3">
      <c r="A39" t="s">
        <v>1874</v>
      </c>
      <c r="B39">
        <v>2022</v>
      </c>
      <c r="C39">
        <v>2023</v>
      </c>
      <c r="D39" t="s">
        <v>1960</v>
      </c>
    </row>
    <row r="40" spans="1:7" x14ac:dyDescent="0.3">
      <c r="A40" t="s">
        <v>1894</v>
      </c>
      <c r="B40" s="5">
        <f>SUMIF(Зарплаты!H:H, 2022, Зарплаты!F:F)</f>
        <v>76488</v>
      </c>
      <c r="C40" s="5">
        <f>SUMIF(Зарплаты!H:H, 2023, Зарплаты!F:F)</f>
        <v>83366</v>
      </c>
      <c r="D40" s="7">
        <f>IFERROR((C39-B39)/B39, 0)</f>
        <v>4.9455984174085062E-4</v>
      </c>
    </row>
    <row r="41" spans="1:7" x14ac:dyDescent="0.3">
      <c r="A41" t="s">
        <v>1896</v>
      </c>
      <c r="B41" s="5">
        <f>SUMIFS(Зарплаты!F:F, Зарплаты!H:H, 2022, Зарплаты!N:N, TRUE)</f>
        <v>63135</v>
      </c>
      <c r="C41" s="5">
        <f>SUMIFS(Зарплаты!F:F, Зарплаты!H:H, 2023, Зарплаты!N:N, TRUE)</f>
        <v>68866</v>
      </c>
      <c r="D41" s="7">
        <f>IFERROR((C41-B41)/B41, 0)</f>
        <v>9.0773738813653276E-2</v>
      </c>
    </row>
    <row r="42" spans="1:7" x14ac:dyDescent="0.3">
      <c r="A42" t="s">
        <v>1898</v>
      </c>
      <c r="B42" s="5">
        <f>SUMIFS(Зарплаты!F:F, Зарплаты!H:H, 2022, Зарплаты!O:O, TRUE)</f>
        <v>13353</v>
      </c>
      <c r="C42" s="5">
        <f>SUMIFS(Зарплаты!F:F, Зарплаты!H:H, 2023, Зарплаты!O:O, TRUE)</f>
        <v>14500</v>
      </c>
      <c r="D42" s="7">
        <f>IFERROR((C42-B42)/B42, 0)</f>
        <v>8.5898300007488951E-2</v>
      </c>
    </row>
    <row r="43" spans="1:7" x14ac:dyDescent="0.3">
      <c r="A43" t="s">
        <v>1951</v>
      </c>
      <c r="B43" s="5">
        <f>COUNTIF(Зарплаты!H:H, 2022)</f>
        <v>44</v>
      </c>
      <c r="C43" s="5">
        <f>COUNTIF(Зарплаты!H:H, 2023)</f>
        <v>48</v>
      </c>
      <c r="D43" s="7">
        <f>IFERROR((C43-B43)/B43, 0)</f>
        <v>9.0909090909090912E-2</v>
      </c>
    </row>
    <row r="44" spans="1:7" x14ac:dyDescent="0.3">
      <c r="A44" t="s">
        <v>1952</v>
      </c>
      <c r="B44" s="5">
        <f>COUNTIFS(Зарплаты!H:H, 2022, Зарплаты!N:N, TRUE)</f>
        <v>33</v>
      </c>
      <c r="C44" s="5">
        <f>COUNTIFS(Зарплаты!H:H, 2023, Зарплаты!N:N, TRUE)</f>
        <v>36</v>
      </c>
      <c r="D44" s="7">
        <f>IFERROR((C44-B44)/B44, 0)</f>
        <v>9.0909090909090912E-2</v>
      </c>
    </row>
    <row r="45" spans="1:7" x14ac:dyDescent="0.3">
      <c r="A45" t="s">
        <v>1953</v>
      </c>
      <c r="B45" s="5">
        <f>COUNTIFS(Зарплаты!H:H, 2022, Зарплаты!O:O, TRUE)</f>
        <v>11</v>
      </c>
      <c r="C45" s="5">
        <f>COUNTIFS(Зарплаты!H:H, 2023, Зарплаты!O:O, TRUE)</f>
        <v>12</v>
      </c>
      <c r="D45" s="7">
        <f>IFERROR((C45-B45)/B45, 0)</f>
        <v>9.0909090909090912E-2</v>
      </c>
    </row>
    <row r="46" spans="1:7" x14ac:dyDescent="0.3">
      <c r="A46" t="s">
        <v>1950</v>
      </c>
      <c r="B46" s="5">
        <f>B40/B43</f>
        <v>1738.3636363636363</v>
      </c>
      <c r="C46" s="5">
        <f>C40/C43</f>
        <v>1736.7916666666667</v>
      </c>
      <c r="D46" s="7">
        <f>D40/D43</f>
        <v>5.440158259149357E-3</v>
      </c>
    </row>
    <row r="47" spans="1:7" x14ac:dyDescent="0.3">
      <c r="A47" t="s">
        <v>1961</v>
      </c>
      <c r="B47">
        <f>B41/B44</f>
        <v>1913.1818181818182</v>
      </c>
      <c r="C47">
        <f>C41/C44</f>
        <v>1912.9444444444443</v>
      </c>
      <c r="D47" s="4">
        <f>D41/D44</f>
        <v>0.99851112695018607</v>
      </c>
    </row>
    <row r="48" spans="1:7" x14ac:dyDescent="0.3">
      <c r="A48" t="s">
        <v>1962</v>
      </c>
      <c r="B48">
        <f>B42/B45</f>
        <v>1213.909090909091</v>
      </c>
      <c r="C48">
        <f>C42/C45</f>
        <v>1208.3333333333333</v>
      </c>
      <c r="D48" s="4">
        <f>D42/D45</f>
        <v>0.94488130008237847</v>
      </c>
    </row>
    <row r="49" spans="1:7" x14ac:dyDescent="0.3">
      <c r="A49" s="11" t="s">
        <v>1963</v>
      </c>
      <c r="B49" s="11"/>
      <c r="C49" s="11"/>
      <c r="D49" s="11"/>
      <c r="E49" s="11"/>
      <c r="F49" s="11"/>
      <c r="G49" s="11"/>
    </row>
    <row r="50" spans="1:7" x14ac:dyDescent="0.3">
      <c r="A50" t="s">
        <v>1964</v>
      </c>
      <c r="B50">
        <v>2022</v>
      </c>
      <c r="C50">
        <v>2023</v>
      </c>
      <c r="D50" t="s">
        <v>1965</v>
      </c>
    </row>
    <row r="51" spans="1:7" x14ac:dyDescent="0.3">
      <c r="A51" t="s">
        <v>1861</v>
      </c>
      <c r="B51" s="5">
        <f>SUMIFS(Зарплаты!F:F, Зарплаты!H:H, 2022, Зарплаты!P:P, "Barista")</f>
        <v>38762</v>
      </c>
      <c r="C51" s="5">
        <f>SUMIFS(Зарплаты!F:F, Зарплаты!H:H, 2023, Зарплаты!P:P, "Barista")</f>
        <v>42484</v>
      </c>
      <c r="D51" s="7">
        <f>IFERROR((C51-B51)/B51, 0)</f>
        <v>9.6021877096125072E-2</v>
      </c>
    </row>
    <row r="52" spans="1:7" x14ac:dyDescent="0.3">
      <c r="A52" t="s">
        <v>1994</v>
      </c>
      <c r="B52" s="5">
        <f>SUMIFS(Зарплаты!F:F, Зарплаты!H:H, 2022, Зарплаты!P:P, "Manager")</f>
        <v>24373</v>
      </c>
      <c r="C52" s="5">
        <f>SUMIFS(Зарплаты!F:F, Зарплаты!H:H, 2023, Зарплаты!P:P, "Manager")</f>
        <v>26382</v>
      </c>
      <c r="D52" s="7">
        <f>IFERROR((C52-B52)/B52, 0)</f>
        <v>8.2427276084191523E-2</v>
      </c>
    </row>
    <row r="53" spans="1:7" x14ac:dyDescent="0.3">
      <c r="A53" t="s">
        <v>1873</v>
      </c>
      <c r="B53" s="5">
        <f>SUMIFS(Зарплаты!F:F, Зарплаты!H:H, 2022, Зарплаты!P:P, "Contractor")</f>
        <v>13353</v>
      </c>
      <c r="C53" s="5">
        <f>SUMIFS(Зарплаты!F:F, Зарплаты!H:H, 2023, Зарплаты!P:P, "Contractor")</f>
        <v>14500</v>
      </c>
      <c r="D53" s="7">
        <f>IFERROR((C53-B53)/B53, 0)</f>
        <v>8.5898300007488951E-2</v>
      </c>
    </row>
    <row r="54" spans="1:7" x14ac:dyDescent="0.3">
      <c r="A54" s="11" t="s">
        <v>1966</v>
      </c>
      <c r="B54" s="11"/>
      <c r="C54" s="11"/>
      <c r="D54" s="11"/>
      <c r="E54" s="11"/>
      <c r="F54" s="11"/>
      <c r="G54" s="11"/>
    </row>
    <row r="55" spans="1:7" x14ac:dyDescent="0.3">
      <c r="A55" t="s">
        <v>1896</v>
      </c>
      <c r="B55" t="s">
        <v>1964</v>
      </c>
      <c r="C55">
        <v>2022</v>
      </c>
      <c r="D55">
        <v>2023</v>
      </c>
      <c r="E55" t="s">
        <v>1967</v>
      </c>
      <c r="F55" t="s">
        <v>1968</v>
      </c>
    </row>
    <row r="56" spans="1:7" x14ac:dyDescent="0.3">
      <c r="A56" s="5" t="s">
        <v>1860</v>
      </c>
      <c r="B56" t="s">
        <v>1861</v>
      </c>
      <c r="C56" s="5">
        <f>SUMIFS(Зарплаты!F:F, Зарплаты!C:C, "Employee_001", Зарплаты!H:H, 2022)</f>
        <v>19724</v>
      </c>
      <c r="D56" s="5">
        <f>SUMIFS(Зарплаты!F:F, Зарплаты!C:C, "Employee_001", Зарплаты!H:H, 2023)</f>
        <v>21404</v>
      </c>
      <c r="E56" s="5">
        <f>D56-C56</f>
        <v>1680</v>
      </c>
      <c r="F56" s="5">
        <f>IFERROR(D56/12, 0)</f>
        <v>1783.6666666666667</v>
      </c>
    </row>
    <row r="57" spans="1:7" x14ac:dyDescent="0.3">
      <c r="A57" s="5" t="s">
        <v>1865</v>
      </c>
      <c r="B57" t="s">
        <v>1861</v>
      </c>
      <c r="C57" s="5">
        <f>SUMIFS(Зарплаты!F:F, Зарплаты!C:C, "Employee_002", Зарплаты!H:H, 2022)</f>
        <v>19038</v>
      </c>
      <c r="D57" s="5">
        <f>SUMIFS(Зарплаты!F:F, Зарплаты!C:C, "Employee_002", Зарплаты!H:H, 2023)</f>
        <v>21080</v>
      </c>
      <c r="E57" s="13">
        <f>D57-C57</f>
        <v>2042</v>
      </c>
      <c r="F57" s="5">
        <f t="shared" ref="F57:F59" si="6">IFERROR(D57/12, 0)</f>
        <v>1756.6666666666667</v>
      </c>
    </row>
    <row r="58" spans="1:7" x14ac:dyDescent="0.3">
      <c r="A58" s="5" t="s">
        <v>1867</v>
      </c>
      <c r="B58" t="s">
        <v>1868</v>
      </c>
      <c r="C58" s="5">
        <f>SUMIFS(Зарплаты!F:F, Зарплаты!C:C, "Employee_003", Зарплаты!H:H, 2022)</f>
        <v>24373</v>
      </c>
      <c r="D58" s="5">
        <f>SUMIFS(Зарплаты!F:F, Зарплаты!C:C, "Employee_003", Зарплаты!H:H, 2023)</f>
        <v>26382</v>
      </c>
      <c r="E58" s="13">
        <f t="shared" ref="E58:E59" si="7">D58-C58</f>
        <v>2009</v>
      </c>
      <c r="F58" s="5">
        <f t="shared" si="6"/>
        <v>2198.5</v>
      </c>
    </row>
    <row r="59" spans="1:7" x14ac:dyDescent="0.3">
      <c r="A59" s="5" t="s">
        <v>1870</v>
      </c>
      <c r="B59" s="5" t="s">
        <v>1871</v>
      </c>
      <c r="C59" s="5">
        <f>SUMIFS(Зарплаты!F:F, Зарплаты!C:C, "Employee_004", Зарплаты!H:H, 2022)</f>
        <v>13353</v>
      </c>
      <c r="D59" s="5">
        <f>SUMIFS(Зарплаты!F:F, Зарплаты!C:C, "Employee_004", Зарплаты!H:H, 2023)</f>
        <v>14500</v>
      </c>
      <c r="E59" s="13">
        <f t="shared" si="7"/>
        <v>1147</v>
      </c>
      <c r="F59" s="5">
        <f t="shared" si="6"/>
        <v>1208.3333333333333</v>
      </c>
    </row>
  </sheetData>
  <mergeCells count="5">
    <mergeCell ref="A1:G1"/>
    <mergeCell ref="A11:G11"/>
    <mergeCell ref="A38:G38"/>
    <mergeCell ref="A49:G49"/>
    <mergeCell ref="A54:G54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546E-EB2A-4969-B086-502244E7A4A4}">
  <dimension ref="A1:B23"/>
  <sheetViews>
    <sheetView workbookViewId="0">
      <selection activeCell="B21" sqref="B21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1886</v>
      </c>
      <c r="B1">
        <f>SUMIF('Кредитная карта'!E:E,"Debit",'Кредитная карта'!F:F)</f>
        <v>36797</v>
      </c>
    </row>
    <row r="2" spans="1:2" x14ac:dyDescent="0.3">
      <c r="A2" t="s">
        <v>1888</v>
      </c>
      <c r="B2" s="10">
        <f>SUMIF('Кредитная карта'!E:E,"Credit",'Кредитная карта'!F:F)</f>
        <v>15146</v>
      </c>
    </row>
    <row r="3" spans="1:2" x14ac:dyDescent="0.3">
      <c r="A3" t="s">
        <v>1933</v>
      </c>
      <c r="B3" s="10">
        <f>B1-B2</f>
        <v>21651</v>
      </c>
    </row>
    <row r="4" spans="1:2" x14ac:dyDescent="0.3">
      <c r="A4" t="s">
        <v>1930</v>
      </c>
      <c r="B4" s="10">
        <f>COUNTIF('Кредитная карта'!E:E,"Debit")</f>
        <v>105</v>
      </c>
    </row>
    <row r="5" spans="1:2" x14ac:dyDescent="0.3">
      <c r="A5" t="s">
        <v>1934</v>
      </c>
      <c r="B5" s="10">
        <f>COUNTIF('Кредитная карта'!E:E,"Credit")</f>
        <v>28</v>
      </c>
    </row>
    <row r="6" spans="1:2" x14ac:dyDescent="0.3">
      <c r="A6" t="s">
        <v>1935</v>
      </c>
      <c r="B6" s="10">
        <f>B1/B4</f>
        <v>350.44761904761907</v>
      </c>
    </row>
    <row r="7" spans="1:2" x14ac:dyDescent="0.3">
      <c r="A7" t="s">
        <v>1931</v>
      </c>
      <c r="B7" s="10">
        <f>B2/B5</f>
        <v>540.92857142857144</v>
      </c>
    </row>
    <row r="8" spans="1:2" x14ac:dyDescent="0.3">
      <c r="A8" t="s">
        <v>1932</v>
      </c>
      <c r="B8" s="10">
        <f>B2/B1*100</f>
        <v>41.160964209038781</v>
      </c>
    </row>
    <row r="9" spans="1:2" x14ac:dyDescent="0.3">
      <c r="A9" s="11" t="s">
        <v>1936</v>
      </c>
      <c r="B9" s="11"/>
    </row>
    <row r="10" spans="1:2" x14ac:dyDescent="0.3">
      <c r="A10" t="s">
        <v>1937</v>
      </c>
      <c r="B10" s="10">
        <f>SUMIFS('Кредитная карта'!F:F,'Кредитная карта'!D:D,"Marketing",'Кредитная карта'!E:E,"Debit")</f>
        <v>10030</v>
      </c>
    </row>
    <row r="11" spans="1:2" x14ac:dyDescent="0.3">
      <c r="A11" t="s">
        <v>1938</v>
      </c>
      <c r="B11" s="10">
        <f>SUMIFS('Кредитная карта'!F:F,'Кредитная карта'!D:D,"Utilities",'Кредитная карта'!E:E,"Debit")</f>
        <v>9879</v>
      </c>
    </row>
    <row r="12" spans="1:2" x14ac:dyDescent="0.3">
      <c r="A12" t="s">
        <v>1939</v>
      </c>
      <c r="B12" s="10">
        <f>SUMIFS('Кредитная карта'!F:F,'Кредитная карта'!D:D,"Supplies",'Кредитная карта'!E:E,"Debit")</f>
        <v>6871</v>
      </c>
    </row>
    <row r="13" spans="1:2" x14ac:dyDescent="0.3">
      <c r="A13" t="s">
        <v>1940</v>
      </c>
      <c r="B13" s="10">
        <f>SUMIFS('Кредитная карта'!F:F,'Кредитная карта'!D:D,"Other",'Кредитная карта'!E:E,"Debit")</f>
        <v>10017</v>
      </c>
    </row>
    <row r="14" spans="1:2" x14ac:dyDescent="0.3">
      <c r="A14" s="11" t="s">
        <v>1941</v>
      </c>
      <c r="B14" s="11"/>
    </row>
    <row r="15" spans="1:2" x14ac:dyDescent="0.3">
      <c r="A15" s="8" t="s">
        <v>1712</v>
      </c>
      <c r="B15" s="10">
        <f>SUMIFS('Кредитная карта'!F:F,'Кредитная карта'!C:C,"Facebook Ads",'Кредитная карта'!E:E,"Debit")</f>
        <v>8459</v>
      </c>
    </row>
    <row r="16" spans="1:2" x14ac:dyDescent="0.3">
      <c r="A16" s="8" t="s">
        <v>1709</v>
      </c>
      <c r="B16" s="10">
        <f>SUMIFS('Кредитная карта'!F:F,'Кредитная карта'!C:C,"Utility Company",'Кредитная карта'!E:E,"Debit")</f>
        <v>9008</v>
      </c>
    </row>
    <row r="17" spans="1:2" x14ac:dyDescent="0.3">
      <c r="A17" s="8" t="s">
        <v>1723</v>
      </c>
      <c r="B17" s="10">
        <f>SUMIFS('Кредитная карта'!F:F,'Кредитная карта'!C:C,"Coffee Supplier",'Кредитная карта'!E:E,"Debit")</f>
        <v>10475</v>
      </c>
    </row>
    <row r="18" spans="1:2" x14ac:dyDescent="0.3">
      <c r="A18" s="8" t="s">
        <v>1720</v>
      </c>
      <c r="B18" s="10">
        <f>SUMIFS('Кредитная карта'!F:F,'Кредитная карта'!C:C,"Local Print Shop",'Кредитная карта'!E:E,"Debit")</f>
        <v>8855</v>
      </c>
    </row>
    <row r="19" spans="1:2" x14ac:dyDescent="0.3">
      <c r="A19" s="9" t="s">
        <v>1942</v>
      </c>
      <c r="B19" s="10">
        <f>MAX('Кредитная карта'!G:G)</f>
        <v>21651</v>
      </c>
    </row>
    <row r="20" spans="1:2" x14ac:dyDescent="0.3">
      <c r="A20" s="9" t="s">
        <v>1943</v>
      </c>
      <c r="B20" s="10">
        <f>MIN('Кредитная карта'!G:G)</f>
        <v>229</v>
      </c>
    </row>
    <row r="21" spans="1:2" x14ac:dyDescent="0.3">
      <c r="A21" s="9" t="s">
        <v>1944</v>
      </c>
      <c r="B21" s="5">
        <f>SUMIFS('Кредитная карта'!F:F, 'Кредитная карта'!H:H, 2022, 'Кредитная карта'!D:D, "Marketing")</f>
        <v>6176</v>
      </c>
    </row>
    <row r="22" spans="1:2" x14ac:dyDescent="0.3">
      <c r="A22" s="9" t="s">
        <v>1945</v>
      </c>
      <c r="B22" s="10">
        <f>SUMIFS('Кредитная карта'!F:F,'Кредитная карта'!H:H,2022,'Кредитная карта'!E:E,"Debit")</f>
        <v>17683</v>
      </c>
    </row>
    <row r="23" spans="1:2" x14ac:dyDescent="0.3">
      <c r="A23" s="9" t="s">
        <v>1946</v>
      </c>
      <c r="B23" s="10">
        <f>SUMIFS('Кредитная карта'!F:F,'Кредитная карта'!H:H,2023,'Кредитная карта'!E:E,"Debit")</f>
        <v>19114</v>
      </c>
    </row>
  </sheetData>
  <mergeCells count="2">
    <mergeCell ref="A9:B9"/>
    <mergeCell ref="A14:B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workbookViewId="0">
      <selection activeCell="R16" sqref="R1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3">
      <c r="A2" t="s">
        <v>16</v>
      </c>
      <c r="B2" t="s">
        <v>1653</v>
      </c>
      <c r="C2" t="s">
        <v>1654</v>
      </c>
      <c r="D2" t="s">
        <v>1655</v>
      </c>
      <c r="E2" t="s">
        <v>20</v>
      </c>
      <c r="F2">
        <v>3403</v>
      </c>
      <c r="G2">
        <v>5403</v>
      </c>
      <c r="H2">
        <v>2022</v>
      </c>
      <c r="I2">
        <v>1</v>
      </c>
      <c r="J2" t="s">
        <v>21</v>
      </c>
      <c r="K2">
        <v>1</v>
      </c>
      <c r="L2" t="s">
        <v>22</v>
      </c>
      <c r="M2">
        <v>5</v>
      </c>
      <c r="N2" t="b">
        <v>1</v>
      </c>
      <c r="O2" t="b">
        <v>0</v>
      </c>
      <c r="P2">
        <v>5403</v>
      </c>
      <c r="R2" s="1"/>
      <c r="S2" s="1"/>
    </row>
    <row r="3" spans="1:19" x14ac:dyDescent="0.3">
      <c r="A3" t="s">
        <v>65</v>
      </c>
      <c r="B3" t="s">
        <v>1656</v>
      </c>
      <c r="C3" t="s">
        <v>1657</v>
      </c>
      <c r="D3" t="s">
        <v>1658</v>
      </c>
      <c r="E3" t="s">
        <v>35</v>
      </c>
      <c r="F3">
        <v>2688</v>
      </c>
      <c r="G3">
        <v>2715</v>
      </c>
      <c r="H3">
        <v>2022</v>
      </c>
      <c r="I3">
        <v>1</v>
      </c>
      <c r="J3" t="s">
        <v>21</v>
      </c>
      <c r="K3">
        <v>1</v>
      </c>
      <c r="L3" t="s">
        <v>22</v>
      </c>
      <c r="M3">
        <v>5</v>
      </c>
      <c r="N3" t="b">
        <v>0</v>
      </c>
      <c r="O3" t="b">
        <v>1</v>
      </c>
      <c r="P3">
        <v>2715</v>
      </c>
    </row>
    <row r="4" spans="1:19" x14ac:dyDescent="0.3">
      <c r="A4" t="s">
        <v>105</v>
      </c>
      <c r="B4" t="s">
        <v>1659</v>
      </c>
      <c r="C4" t="s">
        <v>1654</v>
      </c>
      <c r="D4" t="s">
        <v>1655</v>
      </c>
      <c r="E4" t="s">
        <v>20</v>
      </c>
      <c r="F4">
        <v>5779</v>
      </c>
      <c r="G4">
        <v>8494</v>
      </c>
      <c r="H4">
        <v>2022</v>
      </c>
      <c r="I4">
        <v>2</v>
      </c>
      <c r="J4" t="s">
        <v>107</v>
      </c>
      <c r="K4">
        <v>1</v>
      </c>
      <c r="L4" t="s">
        <v>31</v>
      </c>
      <c r="M4">
        <v>1</v>
      </c>
      <c r="N4" t="b">
        <v>1</v>
      </c>
      <c r="O4" t="b">
        <v>0</v>
      </c>
      <c r="P4">
        <v>8494</v>
      </c>
    </row>
    <row r="5" spans="1:19" x14ac:dyDescent="0.3">
      <c r="A5" t="s">
        <v>138</v>
      </c>
      <c r="B5" t="s">
        <v>1660</v>
      </c>
      <c r="C5" t="s">
        <v>1657</v>
      </c>
      <c r="D5" t="s">
        <v>1658</v>
      </c>
      <c r="E5" t="s">
        <v>35</v>
      </c>
      <c r="F5">
        <v>5216</v>
      </c>
      <c r="G5">
        <v>3278</v>
      </c>
      <c r="H5">
        <v>2022</v>
      </c>
      <c r="I5">
        <v>2</v>
      </c>
      <c r="J5" t="s">
        <v>107</v>
      </c>
      <c r="K5">
        <v>1</v>
      </c>
      <c r="L5" t="s">
        <v>31</v>
      </c>
      <c r="M5">
        <v>1</v>
      </c>
      <c r="N5" t="b">
        <v>0</v>
      </c>
      <c r="O5" t="b">
        <v>1</v>
      </c>
      <c r="P5">
        <v>3278</v>
      </c>
    </row>
    <row r="6" spans="1:19" x14ac:dyDescent="0.3">
      <c r="A6" t="s">
        <v>168</v>
      </c>
      <c r="B6" t="s">
        <v>1661</v>
      </c>
      <c r="C6" t="s">
        <v>1654</v>
      </c>
      <c r="D6" t="s">
        <v>1655</v>
      </c>
      <c r="E6" t="s">
        <v>20</v>
      </c>
      <c r="F6">
        <v>5579</v>
      </c>
      <c r="G6">
        <v>8857</v>
      </c>
      <c r="H6">
        <v>2022</v>
      </c>
      <c r="I6">
        <v>3</v>
      </c>
      <c r="J6" t="s">
        <v>170</v>
      </c>
      <c r="K6">
        <v>1</v>
      </c>
      <c r="L6" t="s">
        <v>31</v>
      </c>
      <c r="M6">
        <v>1</v>
      </c>
      <c r="N6" t="b">
        <v>1</v>
      </c>
      <c r="O6" t="b">
        <v>0</v>
      </c>
      <c r="P6">
        <v>8857</v>
      </c>
    </row>
    <row r="7" spans="1:19" x14ac:dyDescent="0.3">
      <c r="A7" t="s">
        <v>200</v>
      </c>
      <c r="B7" t="s">
        <v>1662</v>
      </c>
      <c r="C7" t="s">
        <v>1657</v>
      </c>
      <c r="D7" t="s">
        <v>1658</v>
      </c>
      <c r="E7" t="s">
        <v>35</v>
      </c>
      <c r="F7">
        <v>5228</v>
      </c>
      <c r="G7">
        <v>3629</v>
      </c>
      <c r="H7">
        <v>2022</v>
      </c>
      <c r="I7">
        <v>3</v>
      </c>
      <c r="J7" t="s">
        <v>170</v>
      </c>
      <c r="K7">
        <v>1</v>
      </c>
      <c r="L7" t="s">
        <v>31</v>
      </c>
      <c r="M7">
        <v>1</v>
      </c>
      <c r="N7" t="b">
        <v>0</v>
      </c>
      <c r="O7" t="b">
        <v>1</v>
      </c>
      <c r="P7">
        <v>3629</v>
      </c>
    </row>
    <row r="8" spans="1:19" x14ac:dyDescent="0.3">
      <c r="A8" t="s">
        <v>236</v>
      </c>
      <c r="B8" t="s">
        <v>1663</v>
      </c>
      <c r="C8" t="s">
        <v>1654</v>
      </c>
      <c r="D8" t="s">
        <v>1655</v>
      </c>
      <c r="E8" t="s">
        <v>20</v>
      </c>
      <c r="F8">
        <v>4712</v>
      </c>
      <c r="G8">
        <v>8341</v>
      </c>
      <c r="H8">
        <v>2022</v>
      </c>
      <c r="I8">
        <v>4</v>
      </c>
      <c r="J8" t="s">
        <v>238</v>
      </c>
      <c r="K8">
        <v>2</v>
      </c>
      <c r="L8" t="s">
        <v>44</v>
      </c>
      <c r="M8">
        <v>4</v>
      </c>
      <c r="N8" t="b">
        <v>1</v>
      </c>
      <c r="O8" t="b">
        <v>0</v>
      </c>
      <c r="P8">
        <v>8341</v>
      </c>
    </row>
    <row r="9" spans="1:19" x14ac:dyDescent="0.3">
      <c r="A9" t="s">
        <v>268</v>
      </c>
      <c r="B9" t="s">
        <v>1664</v>
      </c>
      <c r="C9" t="s">
        <v>1657</v>
      </c>
      <c r="D9" t="s">
        <v>1658</v>
      </c>
      <c r="E9" t="s">
        <v>35</v>
      </c>
      <c r="F9">
        <v>4093</v>
      </c>
      <c r="G9">
        <v>4248</v>
      </c>
      <c r="H9">
        <v>2022</v>
      </c>
      <c r="I9">
        <v>4</v>
      </c>
      <c r="J9" t="s">
        <v>238</v>
      </c>
      <c r="K9">
        <v>2</v>
      </c>
      <c r="L9" t="s">
        <v>44</v>
      </c>
      <c r="M9">
        <v>4</v>
      </c>
      <c r="N9" t="b">
        <v>0</v>
      </c>
      <c r="O9" t="b">
        <v>1</v>
      </c>
      <c r="P9">
        <v>4248</v>
      </c>
    </row>
    <row r="10" spans="1:19" x14ac:dyDescent="0.3">
      <c r="A10" t="s">
        <v>303</v>
      </c>
      <c r="B10" t="s">
        <v>1665</v>
      </c>
      <c r="C10" t="s">
        <v>1654</v>
      </c>
      <c r="D10" t="s">
        <v>1655</v>
      </c>
      <c r="E10" t="s">
        <v>20</v>
      </c>
      <c r="F10">
        <v>4273</v>
      </c>
      <c r="G10">
        <v>8521</v>
      </c>
      <c r="H10">
        <v>2022</v>
      </c>
      <c r="I10">
        <v>5</v>
      </c>
      <c r="J10" t="s">
        <v>305</v>
      </c>
      <c r="K10">
        <v>2</v>
      </c>
      <c r="L10" t="s">
        <v>25</v>
      </c>
      <c r="M10">
        <v>6</v>
      </c>
      <c r="N10" t="b">
        <v>1</v>
      </c>
      <c r="O10" t="b">
        <v>0</v>
      </c>
      <c r="P10">
        <v>8521</v>
      </c>
    </row>
    <row r="11" spans="1:19" x14ac:dyDescent="0.3">
      <c r="A11" t="s">
        <v>333</v>
      </c>
      <c r="B11" t="s">
        <v>1666</v>
      </c>
      <c r="C11" t="s">
        <v>1657</v>
      </c>
      <c r="D11" t="s">
        <v>1658</v>
      </c>
      <c r="E11" t="s">
        <v>35</v>
      </c>
      <c r="F11">
        <v>3957</v>
      </c>
      <c r="G11">
        <v>4564</v>
      </c>
      <c r="H11">
        <v>2022</v>
      </c>
      <c r="I11">
        <v>5</v>
      </c>
      <c r="J11" t="s">
        <v>305</v>
      </c>
      <c r="K11">
        <v>2</v>
      </c>
      <c r="L11" t="s">
        <v>25</v>
      </c>
      <c r="M11">
        <v>6</v>
      </c>
      <c r="N11" t="b">
        <v>0</v>
      </c>
      <c r="O11" t="b">
        <v>1</v>
      </c>
      <c r="P11">
        <v>4564</v>
      </c>
    </row>
    <row r="12" spans="1:19" x14ac:dyDescent="0.3">
      <c r="A12" t="s">
        <v>369</v>
      </c>
      <c r="B12" t="s">
        <v>1667</v>
      </c>
      <c r="C12" t="s">
        <v>1654</v>
      </c>
      <c r="D12" t="s">
        <v>1655</v>
      </c>
      <c r="E12" t="s">
        <v>20</v>
      </c>
      <c r="F12">
        <v>5913</v>
      </c>
      <c r="G12">
        <v>10477</v>
      </c>
      <c r="H12">
        <v>2022</v>
      </c>
      <c r="I12">
        <v>6</v>
      </c>
      <c r="J12" t="s">
        <v>371</v>
      </c>
      <c r="K12">
        <v>2</v>
      </c>
      <c r="L12" t="s">
        <v>38</v>
      </c>
      <c r="M12">
        <v>2</v>
      </c>
      <c r="N12" t="b">
        <v>1</v>
      </c>
      <c r="O12" t="b">
        <v>0</v>
      </c>
      <c r="P12">
        <v>10477</v>
      </c>
    </row>
    <row r="13" spans="1:19" x14ac:dyDescent="0.3">
      <c r="A13" t="s">
        <v>400</v>
      </c>
      <c r="B13" t="s">
        <v>1668</v>
      </c>
      <c r="C13" t="s">
        <v>1657</v>
      </c>
      <c r="D13" t="s">
        <v>1658</v>
      </c>
      <c r="E13" t="s">
        <v>35</v>
      </c>
      <c r="F13">
        <v>5202</v>
      </c>
      <c r="G13">
        <v>5275</v>
      </c>
      <c r="H13">
        <v>2022</v>
      </c>
      <c r="I13">
        <v>6</v>
      </c>
      <c r="J13" t="s">
        <v>371</v>
      </c>
      <c r="K13">
        <v>2</v>
      </c>
      <c r="L13" t="s">
        <v>38</v>
      </c>
      <c r="M13">
        <v>2</v>
      </c>
      <c r="N13" t="b">
        <v>0</v>
      </c>
      <c r="O13" t="b">
        <v>1</v>
      </c>
      <c r="P13">
        <v>5275</v>
      </c>
    </row>
    <row r="14" spans="1:19" x14ac:dyDescent="0.3">
      <c r="A14" t="s">
        <v>439</v>
      </c>
      <c r="B14" t="s">
        <v>1669</v>
      </c>
      <c r="C14" t="s">
        <v>1654</v>
      </c>
      <c r="D14" t="s">
        <v>1655</v>
      </c>
      <c r="E14" t="s">
        <v>20</v>
      </c>
      <c r="F14">
        <v>5625</v>
      </c>
      <c r="G14">
        <v>10900</v>
      </c>
      <c r="H14">
        <v>2022</v>
      </c>
      <c r="I14">
        <v>7</v>
      </c>
      <c r="J14" t="s">
        <v>441</v>
      </c>
      <c r="K14">
        <v>3</v>
      </c>
      <c r="L14" t="s">
        <v>44</v>
      </c>
      <c r="M14">
        <v>4</v>
      </c>
      <c r="N14" t="b">
        <v>1</v>
      </c>
      <c r="O14" t="b">
        <v>0</v>
      </c>
      <c r="P14">
        <v>10900</v>
      </c>
    </row>
    <row r="15" spans="1:19" x14ac:dyDescent="0.3">
      <c r="A15" t="s">
        <v>470</v>
      </c>
      <c r="B15" t="s">
        <v>1670</v>
      </c>
      <c r="C15" t="s">
        <v>1657</v>
      </c>
      <c r="D15" t="s">
        <v>1658</v>
      </c>
      <c r="E15" t="s">
        <v>35</v>
      </c>
      <c r="F15">
        <v>5091</v>
      </c>
      <c r="G15">
        <v>5809</v>
      </c>
      <c r="H15">
        <v>2022</v>
      </c>
      <c r="I15">
        <v>7</v>
      </c>
      <c r="J15" t="s">
        <v>441</v>
      </c>
      <c r="K15">
        <v>3</v>
      </c>
      <c r="L15" t="s">
        <v>44</v>
      </c>
      <c r="M15">
        <v>4</v>
      </c>
      <c r="N15" t="b">
        <v>0</v>
      </c>
      <c r="O15" t="b">
        <v>1</v>
      </c>
      <c r="P15">
        <v>5809</v>
      </c>
    </row>
    <row r="16" spans="1:19" x14ac:dyDescent="0.3">
      <c r="A16" t="s">
        <v>507</v>
      </c>
      <c r="B16" t="s">
        <v>1671</v>
      </c>
      <c r="C16" t="s">
        <v>1654</v>
      </c>
      <c r="D16" t="s">
        <v>1655</v>
      </c>
      <c r="E16" t="s">
        <v>20</v>
      </c>
      <c r="F16">
        <v>4441</v>
      </c>
      <c r="G16">
        <v>10250</v>
      </c>
      <c r="H16">
        <v>2022</v>
      </c>
      <c r="I16">
        <v>8</v>
      </c>
      <c r="J16" t="s">
        <v>509</v>
      </c>
      <c r="K16">
        <v>3</v>
      </c>
      <c r="L16" t="s">
        <v>28</v>
      </c>
      <c r="M16">
        <v>0</v>
      </c>
      <c r="N16" t="b">
        <v>1</v>
      </c>
      <c r="O16" t="b">
        <v>0</v>
      </c>
      <c r="P16">
        <v>10250</v>
      </c>
    </row>
    <row r="17" spans="1:16" x14ac:dyDescent="0.3">
      <c r="A17" t="s">
        <v>540</v>
      </c>
      <c r="B17" t="s">
        <v>1672</v>
      </c>
      <c r="C17" t="s">
        <v>1657</v>
      </c>
      <c r="D17" t="s">
        <v>1658</v>
      </c>
      <c r="E17" t="s">
        <v>35</v>
      </c>
      <c r="F17">
        <v>3947</v>
      </c>
      <c r="G17">
        <v>6303</v>
      </c>
      <c r="H17">
        <v>2022</v>
      </c>
      <c r="I17">
        <v>8</v>
      </c>
      <c r="J17" t="s">
        <v>509</v>
      </c>
      <c r="K17">
        <v>3</v>
      </c>
      <c r="L17" t="s">
        <v>28</v>
      </c>
      <c r="M17">
        <v>0</v>
      </c>
      <c r="N17" t="b">
        <v>0</v>
      </c>
      <c r="O17" t="b">
        <v>1</v>
      </c>
      <c r="P17">
        <v>6303</v>
      </c>
    </row>
    <row r="18" spans="1:16" x14ac:dyDescent="0.3">
      <c r="A18" t="s">
        <v>579</v>
      </c>
      <c r="B18" t="s">
        <v>1673</v>
      </c>
      <c r="C18" t="s">
        <v>1654</v>
      </c>
      <c r="D18" t="s">
        <v>1655</v>
      </c>
      <c r="E18" t="s">
        <v>20</v>
      </c>
      <c r="F18">
        <v>3754</v>
      </c>
      <c r="G18">
        <v>10057</v>
      </c>
      <c r="H18">
        <v>2022</v>
      </c>
      <c r="I18">
        <v>9</v>
      </c>
      <c r="J18" t="s">
        <v>581</v>
      </c>
      <c r="K18">
        <v>3</v>
      </c>
      <c r="L18" t="s">
        <v>41</v>
      </c>
      <c r="M18">
        <v>3</v>
      </c>
      <c r="N18" t="b">
        <v>1</v>
      </c>
      <c r="O18" t="b">
        <v>0</v>
      </c>
      <c r="P18">
        <v>10057</v>
      </c>
    </row>
    <row r="19" spans="1:16" x14ac:dyDescent="0.3">
      <c r="A19" t="s">
        <v>610</v>
      </c>
      <c r="B19" t="s">
        <v>1674</v>
      </c>
      <c r="C19" t="s">
        <v>1657</v>
      </c>
      <c r="D19" t="s">
        <v>1658</v>
      </c>
      <c r="E19" t="s">
        <v>35</v>
      </c>
      <c r="F19">
        <v>3184</v>
      </c>
      <c r="G19">
        <v>6873</v>
      </c>
      <c r="H19">
        <v>2022</v>
      </c>
      <c r="I19">
        <v>9</v>
      </c>
      <c r="J19" t="s">
        <v>581</v>
      </c>
      <c r="K19">
        <v>3</v>
      </c>
      <c r="L19" t="s">
        <v>41</v>
      </c>
      <c r="M19">
        <v>3</v>
      </c>
      <c r="N19" t="b">
        <v>0</v>
      </c>
      <c r="O19" t="b">
        <v>1</v>
      </c>
      <c r="P19">
        <v>6873</v>
      </c>
    </row>
    <row r="20" spans="1:16" x14ac:dyDescent="0.3">
      <c r="A20" t="s">
        <v>645</v>
      </c>
      <c r="B20" t="s">
        <v>1675</v>
      </c>
      <c r="C20" t="s">
        <v>1654</v>
      </c>
      <c r="D20" t="s">
        <v>1655</v>
      </c>
      <c r="E20" t="s">
        <v>20</v>
      </c>
      <c r="F20">
        <v>3185</v>
      </c>
      <c r="G20">
        <v>10058</v>
      </c>
      <c r="H20">
        <v>2022</v>
      </c>
      <c r="I20">
        <v>10</v>
      </c>
      <c r="J20" t="s">
        <v>647</v>
      </c>
      <c r="K20">
        <v>4</v>
      </c>
      <c r="L20" t="s">
        <v>22</v>
      </c>
      <c r="M20">
        <v>5</v>
      </c>
      <c r="N20" t="b">
        <v>1</v>
      </c>
      <c r="O20" t="b">
        <v>0</v>
      </c>
      <c r="P20">
        <v>10058</v>
      </c>
    </row>
    <row r="21" spans="1:16" x14ac:dyDescent="0.3">
      <c r="A21" t="s">
        <v>677</v>
      </c>
      <c r="B21" t="s">
        <v>1676</v>
      </c>
      <c r="C21" t="s">
        <v>1657</v>
      </c>
      <c r="D21" t="s">
        <v>1658</v>
      </c>
      <c r="E21" t="s">
        <v>35</v>
      </c>
      <c r="F21">
        <v>2740</v>
      </c>
      <c r="G21">
        <v>7318</v>
      </c>
      <c r="H21">
        <v>2022</v>
      </c>
      <c r="I21">
        <v>10</v>
      </c>
      <c r="J21" t="s">
        <v>647</v>
      </c>
      <c r="K21">
        <v>4</v>
      </c>
      <c r="L21" t="s">
        <v>22</v>
      </c>
      <c r="M21">
        <v>5</v>
      </c>
      <c r="N21" t="b">
        <v>0</v>
      </c>
      <c r="O21" t="b">
        <v>1</v>
      </c>
      <c r="P21">
        <v>7318</v>
      </c>
    </row>
    <row r="22" spans="1:16" x14ac:dyDescent="0.3">
      <c r="A22" t="s">
        <v>712</v>
      </c>
      <c r="B22" t="s">
        <v>1677</v>
      </c>
      <c r="C22" t="s">
        <v>1654</v>
      </c>
      <c r="D22" t="s">
        <v>1655</v>
      </c>
      <c r="E22" t="s">
        <v>20</v>
      </c>
      <c r="F22">
        <v>3636</v>
      </c>
      <c r="G22">
        <v>10954</v>
      </c>
      <c r="H22">
        <v>2022</v>
      </c>
      <c r="I22">
        <v>11</v>
      </c>
      <c r="J22" t="s">
        <v>714</v>
      </c>
      <c r="K22">
        <v>4</v>
      </c>
      <c r="L22" t="s">
        <v>31</v>
      </c>
      <c r="M22">
        <v>1</v>
      </c>
      <c r="N22" t="b">
        <v>1</v>
      </c>
      <c r="O22" t="b">
        <v>0</v>
      </c>
      <c r="P22">
        <v>10954</v>
      </c>
    </row>
    <row r="23" spans="1:16" x14ac:dyDescent="0.3">
      <c r="A23" t="s">
        <v>743</v>
      </c>
      <c r="B23" t="s">
        <v>1678</v>
      </c>
      <c r="C23" t="s">
        <v>1657</v>
      </c>
      <c r="D23" t="s">
        <v>1658</v>
      </c>
      <c r="E23" t="s">
        <v>35</v>
      </c>
      <c r="F23">
        <v>3169</v>
      </c>
      <c r="G23">
        <v>7785</v>
      </c>
      <c r="H23">
        <v>2022</v>
      </c>
      <c r="I23">
        <v>11</v>
      </c>
      <c r="J23" t="s">
        <v>714</v>
      </c>
      <c r="K23">
        <v>4</v>
      </c>
      <c r="L23" t="s">
        <v>31</v>
      </c>
      <c r="M23">
        <v>1</v>
      </c>
      <c r="N23" t="b">
        <v>0</v>
      </c>
      <c r="O23" t="b">
        <v>1</v>
      </c>
      <c r="P23">
        <v>7785</v>
      </c>
    </row>
    <row r="24" spans="1:16" x14ac:dyDescent="0.3">
      <c r="A24" t="s">
        <v>781</v>
      </c>
      <c r="B24" t="s">
        <v>1679</v>
      </c>
      <c r="C24" t="s">
        <v>1654</v>
      </c>
      <c r="D24" t="s">
        <v>1655</v>
      </c>
      <c r="E24" t="s">
        <v>20</v>
      </c>
      <c r="F24">
        <v>3529</v>
      </c>
      <c r="G24">
        <v>11314</v>
      </c>
      <c r="H24">
        <v>2022</v>
      </c>
      <c r="I24">
        <v>12</v>
      </c>
      <c r="J24" t="s">
        <v>783</v>
      </c>
      <c r="K24">
        <v>4</v>
      </c>
      <c r="L24" t="s">
        <v>41</v>
      </c>
      <c r="M24">
        <v>3</v>
      </c>
      <c r="N24" t="b">
        <v>1</v>
      </c>
      <c r="O24" t="b">
        <v>0</v>
      </c>
      <c r="P24">
        <v>11314</v>
      </c>
    </row>
    <row r="25" spans="1:16" x14ac:dyDescent="0.3">
      <c r="A25" t="s">
        <v>814</v>
      </c>
      <c r="B25" t="s">
        <v>1680</v>
      </c>
      <c r="C25" t="s">
        <v>1657</v>
      </c>
      <c r="D25" t="s">
        <v>1658</v>
      </c>
      <c r="E25" t="s">
        <v>35</v>
      </c>
      <c r="F25">
        <v>2778</v>
      </c>
      <c r="G25">
        <v>8536</v>
      </c>
      <c r="H25">
        <v>2022</v>
      </c>
      <c r="I25">
        <v>12</v>
      </c>
      <c r="J25" t="s">
        <v>783</v>
      </c>
      <c r="K25">
        <v>4</v>
      </c>
      <c r="L25" t="s">
        <v>41</v>
      </c>
      <c r="M25">
        <v>3</v>
      </c>
      <c r="N25" t="b">
        <v>0</v>
      </c>
      <c r="O25" t="b">
        <v>1</v>
      </c>
      <c r="P25">
        <v>8536</v>
      </c>
    </row>
    <row r="26" spans="1:16" x14ac:dyDescent="0.3">
      <c r="A26" t="s">
        <v>850</v>
      </c>
      <c r="B26" t="s">
        <v>1681</v>
      </c>
      <c r="C26" t="s">
        <v>1654</v>
      </c>
      <c r="D26" t="s">
        <v>1655</v>
      </c>
      <c r="E26" t="s">
        <v>20</v>
      </c>
      <c r="F26">
        <v>5068</v>
      </c>
      <c r="G26">
        <v>13604</v>
      </c>
      <c r="H26">
        <v>2023</v>
      </c>
      <c r="I26">
        <v>1</v>
      </c>
      <c r="J26" t="s">
        <v>21</v>
      </c>
      <c r="K26">
        <v>1</v>
      </c>
      <c r="L26" t="s">
        <v>25</v>
      </c>
      <c r="M26">
        <v>6</v>
      </c>
      <c r="N26" t="b">
        <v>1</v>
      </c>
      <c r="O26" t="b">
        <v>0</v>
      </c>
      <c r="P26">
        <v>13604</v>
      </c>
    </row>
    <row r="27" spans="1:16" x14ac:dyDescent="0.3">
      <c r="A27" t="s">
        <v>883</v>
      </c>
      <c r="B27" t="s">
        <v>1682</v>
      </c>
      <c r="C27" t="s">
        <v>1657</v>
      </c>
      <c r="D27" t="s">
        <v>1658</v>
      </c>
      <c r="E27" t="s">
        <v>35</v>
      </c>
      <c r="F27">
        <v>4349</v>
      </c>
      <c r="G27">
        <v>9255</v>
      </c>
      <c r="H27">
        <v>2023</v>
      </c>
      <c r="I27">
        <v>1</v>
      </c>
      <c r="J27" t="s">
        <v>21</v>
      </c>
      <c r="K27">
        <v>1</v>
      </c>
      <c r="L27" t="s">
        <v>25</v>
      </c>
      <c r="M27">
        <v>6</v>
      </c>
      <c r="N27" t="b">
        <v>0</v>
      </c>
      <c r="O27" t="b">
        <v>1</v>
      </c>
      <c r="P27">
        <v>9255</v>
      </c>
    </row>
    <row r="28" spans="1:16" x14ac:dyDescent="0.3">
      <c r="A28" t="s">
        <v>920</v>
      </c>
      <c r="B28" t="s">
        <v>1683</v>
      </c>
      <c r="C28" t="s">
        <v>1654</v>
      </c>
      <c r="D28" t="s">
        <v>1655</v>
      </c>
      <c r="E28" t="s">
        <v>20</v>
      </c>
      <c r="F28">
        <v>5147</v>
      </c>
      <c r="G28">
        <v>14402</v>
      </c>
      <c r="H28">
        <v>2023</v>
      </c>
      <c r="I28">
        <v>2</v>
      </c>
      <c r="J28" t="s">
        <v>107</v>
      </c>
      <c r="K28">
        <v>1</v>
      </c>
      <c r="L28" t="s">
        <v>38</v>
      </c>
      <c r="M28">
        <v>2</v>
      </c>
      <c r="N28" t="b">
        <v>1</v>
      </c>
      <c r="O28" t="b">
        <v>0</v>
      </c>
      <c r="P28">
        <v>14402</v>
      </c>
    </row>
    <row r="29" spans="1:16" x14ac:dyDescent="0.3">
      <c r="A29" t="s">
        <v>950</v>
      </c>
      <c r="B29" t="s">
        <v>1684</v>
      </c>
      <c r="C29" t="s">
        <v>1657</v>
      </c>
      <c r="D29" t="s">
        <v>1658</v>
      </c>
      <c r="E29" t="s">
        <v>35</v>
      </c>
      <c r="F29">
        <v>4470</v>
      </c>
      <c r="G29">
        <v>9932</v>
      </c>
      <c r="H29">
        <v>2023</v>
      </c>
      <c r="I29">
        <v>2</v>
      </c>
      <c r="J29" t="s">
        <v>107</v>
      </c>
      <c r="K29">
        <v>1</v>
      </c>
      <c r="L29" t="s">
        <v>38</v>
      </c>
      <c r="M29">
        <v>2</v>
      </c>
      <c r="N29" t="b">
        <v>0</v>
      </c>
      <c r="O29" t="b">
        <v>1</v>
      </c>
      <c r="P29">
        <v>9932</v>
      </c>
    </row>
    <row r="30" spans="1:16" x14ac:dyDescent="0.3">
      <c r="A30" t="s">
        <v>981</v>
      </c>
      <c r="B30" t="s">
        <v>1685</v>
      </c>
      <c r="C30" t="s">
        <v>1654</v>
      </c>
      <c r="D30" t="s">
        <v>1655</v>
      </c>
      <c r="E30" t="s">
        <v>20</v>
      </c>
      <c r="F30">
        <v>4622</v>
      </c>
      <c r="G30">
        <v>14554</v>
      </c>
      <c r="H30">
        <v>2023</v>
      </c>
      <c r="I30">
        <v>3</v>
      </c>
      <c r="J30" t="s">
        <v>170</v>
      </c>
      <c r="K30">
        <v>1</v>
      </c>
      <c r="L30" t="s">
        <v>38</v>
      </c>
      <c r="M30">
        <v>2</v>
      </c>
      <c r="N30" t="b">
        <v>1</v>
      </c>
      <c r="O30" t="b">
        <v>0</v>
      </c>
      <c r="P30">
        <v>14554</v>
      </c>
    </row>
    <row r="31" spans="1:16" x14ac:dyDescent="0.3">
      <c r="A31" t="s">
        <v>1009</v>
      </c>
      <c r="B31" t="s">
        <v>1686</v>
      </c>
      <c r="C31" t="s">
        <v>1657</v>
      </c>
      <c r="D31" t="s">
        <v>1658</v>
      </c>
      <c r="E31" t="s">
        <v>35</v>
      </c>
      <c r="F31">
        <v>4125</v>
      </c>
      <c r="G31">
        <v>10429</v>
      </c>
      <c r="H31">
        <v>2023</v>
      </c>
      <c r="I31">
        <v>3</v>
      </c>
      <c r="J31" t="s">
        <v>170</v>
      </c>
      <c r="K31">
        <v>1</v>
      </c>
      <c r="L31" t="s">
        <v>38</v>
      </c>
      <c r="M31">
        <v>2</v>
      </c>
      <c r="N31" t="b">
        <v>0</v>
      </c>
      <c r="O31" t="b">
        <v>1</v>
      </c>
      <c r="P31">
        <v>10429</v>
      </c>
    </row>
    <row r="32" spans="1:16" x14ac:dyDescent="0.3">
      <c r="A32" t="s">
        <v>1047</v>
      </c>
      <c r="B32" t="s">
        <v>1687</v>
      </c>
      <c r="C32" t="s">
        <v>1654</v>
      </c>
      <c r="D32" t="s">
        <v>1655</v>
      </c>
      <c r="E32" t="s">
        <v>20</v>
      </c>
      <c r="F32">
        <v>3939</v>
      </c>
      <c r="G32">
        <v>14368</v>
      </c>
      <c r="H32">
        <v>2023</v>
      </c>
      <c r="I32">
        <v>4</v>
      </c>
      <c r="J32" t="s">
        <v>238</v>
      </c>
      <c r="K32">
        <v>2</v>
      </c>
      <c r="L32" t="s">
        <v>22</v>
      </c>
      <c r="M32">
        <v>5</v>
      </c>
      <c r="N32" t="b">
        <v>1</v>
      </c>
      <c r="O32" t="b">
        <v>0</v>
      </c>
      <c r="P32">
        <v>14368</v>
      </c>
    </row>
    <row r="33" spans="1:16" x14ac:dyDescent="0.3">
      <c r="A33" t="s">
        <v>1077</v>
      </c>
      <c r="B33" t="s">
        <v>1688</v>
      </c>
      <c r="C33" t="s">
        <v>1657</v>
      </c>
      <c r="D33" t="s">
        <v>1658</v>
      </c>
      <c r="E33" t="s">
        <v>35</v>
      </c>
      <c r="F33">
        <v>3214</v>
      </c>
      <c r="G33">
        <v>11154</v>
      </c>
      <c r="H33">
        <v>2023</v>
      </c>
      <c r="I33">
        <v>4</v>
      </c>
      <c r="J33" t="s">
        <v>238</v>
      </c>
      <c r="K33">
        <v>2</v>
      </c>
      <c r="L33" t="s">
        <v>22</v>
      </c>
      <c r="M33">
        <v>5</v>
      </c>
      <c r="N33" t="b">
        <v>0</v>
      </c>
      <c r="O33" t="b">
        <v>1</v>
      </c>
      <c r="P33">
        <v>11154</v>
      </c>
    </row>
    <row r="34" spans="1:16" x14ac:dyDescent="0.3">
      <c r="A34" t="s">
        <v>1113</v>
      </c>
      <c r="B34" t="s">
        <v>1689</v>
      </c>
      <c r="C34" t="s">
        <v>1654</v>
      </c>
      <c r="D34" t="s">
        <v>1655</v>
      </c>
      <c r="E34" t="s">
        <v>20</v>
      </c>
      <c r="F34">
        <v>5381</v>
      </c>
      <c r="G34">
        <v>16535</v>
      </c>
      <c r="H34">
        <v>2023</v>
      </c>
      <c r="I34">
        <v>5</v>
      </c>
      <c r="J34" t="s">
        <v>305</v>
      </c>
      <c r="K34">
        <v>2</v>
      </c>
      <c r="L34" t="s">
        <v>28</v>
      </c>
      <c r="M34">
        <v>0</v>
      </c>
      <c r="N34" t="b">
        <v>1</v>
      </c>
      <c r="O34" t="b">
        <v>0</v>
      </c>
      <c r="P34">
        <v>16535</v>
      </c>
    </row>
    <row r="35" spans="1:16" x14ac:dyDescent="0.3">
      <c r="A35" t="s">
        <v>1142</v>
      </c>
      <c r="B35" t="s">
        <v>1690</v>
      </c>
      <c r="C35" t="s">
        <v>1657</v>
      </c>
      <c r="D35" t="s">
        <v>1658</v>
      </c>
      <c r="E35" t="s">
        <v>35</v>
      </c>
      <c r="F35">
        <v>5180</v>
      </c>
      <c r="G35">
        <v>11355</v>
      </c>
      <c r="H35">
        <v>2023</v>
      </c>
      <c r="I35">
        <v>5</v>
      </c>
      <c r="J35" t="s">
        <v>305</v>
      </c>
      <c r="K35">
        <v>2</v>
      </c>
      <c r="L35" t="s">
        <v>28</v>
      </c>
      <c r="M35">
        <v>0</v>
      </c>
      <c r="N35" t="b">
        <v>0</v>
      </c>
      <c r="O35" t="b">
        <v>1</v>
      </c>
      <c r="P35">
        <v>11355</v>
      </c>
    </row>
    <row r="36" spans="1:16" x14ac:dyDescent="0.3">
      <c r="A36" t="s">
        <v>1179</v>
      </c>
      <c r="B36" t="s">
        <v>1691</v>
      </c>
      <c r="C36" t="s">
        <v>1654</v>
      </c>
      <c r="D36" t="s">
        <v>1655</v>
      </c>
      <c r="E36" t="s">
        <v>20</v>
      </c>
      <c r="F36">
        <v>3374</v>
      </c>
      <c r="G36">
        <v>14729</v>
      </c>
      <c r="H36">
        <v>2023</v>
      </c>
      <c r="I36">
        <v>6</v>
      </c>
      <c r="J36" t="s">
        <v>371</v>
      </c>
      <c r="K36">
        <v>2</v>
      </c>
      <c r="L36" t="s">
        <v>41</v>
      </c>
      <c r="M36">
        <v>3</v>
      </c>
      <c r="N36" t="b">
        <v>1</v>
      </c>
      <c r="O36" t="b">
        <v>0</v>
      </c>
      <c r="P36">
        <v>14729</v>
      </c>
    </row>
    <row r="37" spans="1:16" x14ac:dyDescent="0.3">
      <c r="A37" t="s">
        <v>1209</v>
      </c>
      <c r="B37" t="s">
        <v>1692</v>
      </c>
      <c r="C37" t="s">
        <v>1657</v>
      </c>
      <c r="D37" t="s">
        <v>1658</v>
      </c>
      <c r="E37" t="s">
        <v>35</v>
      </c>
      <c r="F37">
        <v>2882</v>
      </c>
      <c r="G37">
        <v>11847</v>
      </c>
      <c r="H37">
        <v>2023</v>
      </c>
      <c r="I37">
        <v>6</v>
      </c>
      <c r="J37" t="s">
        <v>371</v>
      </c>
      <c r="K37">
        <v>2</v>
      </c>
      <c r="L37" t="s">
        <v>41</v>
      </c>
      <c r="M37">
        <v>3</v>
      </c>
      <c r="N37" t="b">
        <v>0</v>
      </c>
      <c r="O37" t="b">
        <v>1</v>
      </c>
      <c r="P37">
        <v>11847</v>
      </c>
    </row>
    <row r="38" spans="1:16" x14ac:dyDescent="0.3">
      <c r="A38" t="s">
        <v>1245</v>
      </c>
      <c r="B38" t="s">
        <v>1693</v>
      </c>
      <c r="C38" t="s">
        <v>1654</v>
      </c>
      <c r="D38" t="s">
        <v>1655</v>
      </c>
      <c r="E38" t="s">
        <v>20</v>
      </c>
      <c r="F38">
        <v>5884</v>
      </c>
      <c r="G38">
        <v>17731</v>
      </c>
      <c r="H38">
        <v>2023</v>
      </c>
      <c r="I38">
        <v>7</v>
      </c>
      <c r="J38" t="s">
        <v>441</v>
      </c>
      <c r="K38">
        <v>3</v>
      </c>
      <c r="L38" t="s">
        <v>22</v>
      </c>
      <c r="M38">
        <v>5</v>
      </c>
      <c r="N38" t="b">
        <v>1</v>
      </c>
      <c r="O38" t="b">
        <v>0</v>
      </c>
      <c r="P38">
        <v>17731</v>
      </c>
    </row>
    <row r="39" spans="1:16" x14ac:dyDescent="0.3">
      <c r="A39" t="s">
        <v>1276</v>
      </c>
      <c r="B39" t="s">
        <v>1694</v>
      </c>
      <c r="C39" t="s">
        <v>1657</v>
      </c>
      <c r="D39" t="s">
        <v>1658</v>
      </c>
      <c r="E39" t="s">
        <v>35</v>
      </c>
      <c r="F39">
        <v>5132</v>
      </c>
      <c r="G39">
        <v>12599</v>
      </c>
      <c r="H39">
        <v>2023</v>
      </c>
      <c r="I39">
        <v>7</v>
      </c>
      <c r="J39" t="s">
        <v>441</v>
      </c>
      <c r="K39">
        <v>3</v>
      </c>
      <c r="L39" t="s">
        <v>22</v>
      </c>
      <c r="M39">
        <v>5</v>
      </c>
      <c r="N39" t="b">
        <v>0</v>
      </c>
      <c r="O39" t="b">
        <v>1</v>
      </c>
      <c r="P39">
        <v>12599</v>
      </c>
    </row>
    <row r="40" spans="1:16" x14ac:dyDescent="0.3">
      <c r="A40" t="s">
        <v>1313</v>
      </c>
      <c r="B40" t="s">
        <v>1695</v>
      </c>
      <c r="C40" t="s">
        <v>1654</v>
      </c>
      <c r="D40" t="s">
        <v>1655</v>
      </c>
      <c r="E40" t="s">
        <v>20</v>
      </c>
      <c r="F40">
        <v>5365</v>
      </c>
      <c r="G40">
        <v>17964</v>
      </c>
      <c r="H40">
        <v>2023</v>
      </c>
      <c r="I40">
        <v>8</v>
      </c>
      <c r="J40" t="s">
        <v>509</v>
      </c>
      <c r="K40">
        <v>3</v>
      </c>
      <c r="L40" t="s">
        <v>31</v>
      </c>
      <c r="M40">
        <v>1</v>
      </c>
      <c r="N40" t="b">
        <v>1</v>
      </c>
      <c r="O40" t="b">
        <v>0</v>
      </c>
      <c r="P40">
        <v>17964</v>
      </c>
    </row>
    <row r="41" spans="1:16" x14ac:dyDescent="0.3">
      <c r="A41" t="s">
        <v>1343</v>
      </c>
      <c r="B41" t="s">
        <v>1696</v>
      </c>
      <c r="C41" t="s">
        <v>1657</v>
      </c>
      <c r="D41" t="s">
        <v>1658</v>
      </c>
      <c r="E41" t="s">
        <v>35</v>
      </c>
      <c r="F41">
        <v>4664</v>
      </c>
      <c r="G41">
        <v>13300</v>
      </c>
      <c r="H41">
        <v>2023</v>
      </c>
      <c r="I41">
        <v>8</v>
      </c>
      <c r="J41" t="s">
        <v>509</v>
      </c>
      <c r="K41">
        <v>3</v>
      </c>
      <c r="L41" t="s">
        <v>31</v>
      </c>
      <c r="M41">
        <v>1</v>
      </c>
      <c r="N41" t="b">
        <v>0</v>
      </c>
      <c r="O41" t="b">
        <v>1</v>
      </c>
      <c r="P41">
        <v>13300</v>
      </c>
    </row>
    <row r="42" spans="1:16" x14ac:dyDescent="0.3">
      <c r="A42" t="s">
        <v>1379</v>
      </c>
      <c r="B42" t="s">
        <v>1697</v>
      </c>
      <c r="C42" t="s">
        <v>1654</v>
      </c>
      <c r="D42" t="s">
        <v>1655</v>
      </c>
      <c r="E42" t="s">
        <v>20</v>
      </c>
      <c r="F42">
        <v>4851</v>
      </c>
      <c r="G42">
        <v>18151</v>
      </c>
      <c r="H42">
        <v>2023</v>
      </c>
      <c r="I42">
        <v>9</v>
      </c>
      <c r="J42" t="s">
        <v>581</v>
      </c>
      <c r="K42">
        <v>3</v>
      </c>
      <c r="L42" t="s">
        <v>44</v>
      </c>
      <c r="M42">
        <v>4</v>
      </c>
      <c r="N42" t="b">
        <v>1</v>
      </c>
      <c r="O42" t="b">
        <v>0</v>
      </c>
      <c r="P42">
        <v>18151</v>
      </c>
    </row>
    <row r="43" spans="1:16" x14ac:dyDescent="0.3">
      <c r="A43" t="s">
        <v>1411</v>
      </c>
      <c r="B43" t="s">
        <v>1698</v>
      </c>
      <c r="C43" t="s">
        <v>1657</v>
      </c>
      <c r="D43" t="s">
        <v>1658</v>
      </c>
      <c r="E43" t="s">
        <v>35</v>
      </c>
      <c r="F43">
        <v>4271</v>
      </c>
      <c r="G43">
        <v>13880</v>
      </c>
      <c r="H43">
        <v>2023</v>
      </c>
      <c r="I43">
        <v>9</v>
      </c>
      <c r="J43" t="s">
        <v>581</v>
      </c>
      <c r="K43">
        <v>3</v>
      </c>
      <c r="L43" t="s">
        <v>44</v>
      </c>
      <c r="M43">
        <v>4</v>
      </c>
      <c r="N43" t="b">
        <v>0</v>
      </c>
      <c r="O43" t="b">
        <v>1</v>
      </c>
      <c r="P43">
        <v>13880</v>
      </c>
    </row>
    <row r="44" spans="1:16" x14ac:dyDescent="0.3">
      <c r="A44" t="s">
        <v>1446</v>
      </c>
      <c r="B44" t="s">
        <v>1699</v>
      </c>
      <c r="C44" t="s">
        <v>1654</v>
      </c>
      <c r="D44" t="s">
        <v>1655</v>
      </c>
      <c r="E44" t="s">
        <v>20</v>
      </c>
      <c r="F44">
        <v>4646</v>
      </c>
      <c r="G44">
        <v>18526</v>
      </c>
      <c r="H44">
        <v>2023</v>
      </c>
      <c r="I44">
        <v>10</v>
      </c>
      <c r="J44" t="s">
        <v>647</v>
      </c>
      <c r="K44">
        <v>4</v>
      </c>
      <c r="L44" t="s">
        <v>25</v>
      </c>
      <c r="M44">
        <v>6</v>
      </c>
      <c r="N44" t="b">
        <v>1</v>
      </c>
      <c r="O44" t="b">
        <v>0</v>
      </c>
      <c r="P44">
        <v>18526</v>
      </c>
    </row>
    <row r="45" spans="1:16" x14ac:dyDescent="0.3">
      <c r="A45" t="s">
        <v>1476</v>
      </c>
      <c r="B45" t="s">
        <v>1700</v>
      </c>
      <c r="C45" t="s">
        <v>1657</v>
      </c>
      <c r="D45" t="s">
        <v>1658</v>
      </c>
      <c r="E45" t="s">
        <v>35</v>
      </c>
      <c r="F45">
        <v>4433</v>
      </c>
      <c r="G45">
        <v>14093</v>
      </c>
      <c r="H45">
        <v>2023</v>
      </c>
      <c r="I45">
        <v>10</v>
      </c>
      <c r="J45" t="s">
        <v>647</v>
      </c>
      <c r="K45">
        <v>4</v>
      </c>
      <c r="L45" t="s">
        <v>25</v>
      </c>
      <c r="M45">
        <v>6</v>
      </c>
      <c r="N45" t="b">
        <v>0</v>
      </c>
      <c r="O45" t="b">
        <v>1</v>
      </c>
      <c r="P45">
        <v>14093</v>
      </c>
    </row>
    <row r="46" spans="1:16" x14ac:dyDescent="0.3">
      <c r="A46" t="s">
        <v>1514</v>
      </c>
      <c r="B46" t="s">
        <v>1701</v>
      </c>
      <c r="C46" t="s">
        <v>1654</v>
      </c>
      <c r="D46" t="s">
        <v>1655</v>
      </c>
      <c r="E46" t="s">
        <v>20</v>
      </c>
      <c r="F46">
        <v>3503</v>
      </c>
      <c r="G46">
        <v>17596</v>
      </c>
      <c r="H46">
        <v>2023</v>
      </c>
      <c r="I46">
        <v>11</v>
      </c>
      <c r="J46" t="s">
        <v>714</v>
      </c>
      <c r="K46">
        <v>4</v>
      </c>
      <c r="L46" t="s">
        <v>38</v>
      </c>
      <c r="M46">
        <v>2</v>
      </c>
      <c r="N46" t="b">
        <v>1</v>
      </c>
      <c r="O46" t="b">
        <v>0</v>
      </c>
      <c r="P46">
        <v>17596</v>
      </c>
    </row>
    <row r="47" spans="1:16" x14ac:dyDescent="0.3">
      <c r="A47" t="s">
        <v>1546</v>
      </c>
      <c r="B47" t="s">
        <v>1702</v>
      </c>
      <c r="C47" t="s">
        <v>1657</v>
      </c>
      <c r="D47" t="s">
        <v>1658</v>
      </c>
      <c r="E47" t="s">
        <v>35</v>
      </c>
      <c r="F47">
        <v>3073</v>
      </c>
      <c r="G47">
        <v>14523</v>
      </c>
      <c r="H47">
        <v>2023</v>
      </c>
      <c r="I47">
        <v>11</v>
      </c>
      <c r="J47" t="s">
        <v>714</v>
      </c>
      <c r="K47">
        <v>4</v>
      </c>
      <c r="L47" t="s">
        <v>38</v>
      </c>
      <c r="M47">
        <v>2</v>
      </c>
      <c r="N47" t="b">
        <v>0</v>
      </c>
      <c r="O47" t="b">
        <v>1</v>
      </c>
      <c r="P47">
        <v>14523</v>
      </c>
    </row>
    <row r="48" spans="1:16" x14ac:dyDescent="0.3">
      <c r="A48" t="s">
        <v>1582</v>
      </c>
      <c r="B48" t="s">
        <v>1703</v>
      </c>
      <c r="C48" t="s">
        <v>1654</v>
      </c>
      <c r="D48" t="s">
        <v>1655</v>
      </c>
      <c r="E48" t="s">
        <v>20</v>
      </c>
      <c r="F48">
        <v>5008</v>
      </c>
      <c r="G48">
        <v>19531</v>
      </c>
      <c r="H48">
        <v>2023</v>
      </c>
      <c r="I48">
        <v>12</v>
      </c>
      <c r="J48" t="s">
        <v>783</v>
      </c>
      <c r="K48">
        <v>4</v>
      </c>
      <c r="L48" t="s">
        <v>44</v>
      </c>
      <c r="M48">
        <v>4</v>
      </c>
      <c r="N48" t="b">
        <v>1</v>
      </c>
      <c r="O48" t="b">
        <v>0</v>
      </c>
      <c r="P48">
        <v>19531</v>
      </c>
    </row>
    <row r="49" spans="1:16" x14ac:dyDescent="0.3">
      <c r="A49" t="s">
        <v>1613</v>
      </c>
      <c r="B49" t="s">
        <v>1704</v>
      </c>
      <c r="C49" t="s">
        <v>1657</v>
      </c>
      <c r="D49" t="s">
        <v>1658</v>
      </c>
      <c r="E49" t="s">
        <v>35</v>
      </c>
      <c r="F49">
        <v>4725</v>
      </c>
      <c r="G49">
        <v>14806</v>
      </c>
      <c r="H49">
        <v>2023</v>
      </c>
      <c r="I49">
        <v>12</v>
      </c>
      <c r="J49" t="s">
        <v>783</v>
      </c>
      <c r="K49">
        <v>4</v>
      </c>
      <c r="L49" t="s">
        <v>44</v>
      </c>
      <c r="M49">
        <v>4</v>
      </c>
      <c r="N49" t="b">
        <v>0</v>
      </c>
      <c r="O49" t="b">
        <v>1</v>
      </c>
      <c r="P49">
        <v>14806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3"/>
  <sheetViews>
    <sheetView workbookViewId="0"/>
  </sheetViews>
  <sheetFormatPr defaultRowHeight="14.4" x14ac:dyDescent="0.3"/>
  <sheetData>
    <row r="1" spans="1:16" x14ac:dyDescent="0.3">
      <c r="A1" t="s">
        <v>1851</v>
      </c>
      <c r="B1" t="s">
        <v>1852</v>
      </c>
      <c r="C1" t="s">
        <v>1853</v>
      </c>
      <c r="D1" t="s">
        <v>1854</v>
      </c>
      <c r="E1" t="s">
        <v>4</v>
      </c>
      <c r="F1" t="s">
        <v>5</v>
      </c>
      <c r="G1" t="s">
        <v>1855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1856</v>
      </c>
      <c r="O1" t="s">
        <v>1857</v>
      </c>
      <c r="P1" t="s">
        <v>1858</v>
      </c>
    </row>
    <row r="2" spans="1:16" x14ac:dyDescent="0.3">
      <c r="A2" t="s">
        <v>138</v>
      </c>
      <c r="B2" t="s">
        <v>1859</v>
      </c>
      <c r="C2" t="s">
        <v>1860</v>
      </c>
      <c r="D2" t="s">
        <v>1861</v>
      </c>
      <c r="E2" t="s">
        <v>1862</v>
      </c>
      <c r="F2">
        <v>1865</v>
      </c>
      <c r="G2" t="s">
        <v>1863</v>
      </c>
      <c r="H2">
        <v>2022</v>
      </c>
      <c r="I2">
        <v>2</v>
      </c>
      <c r="J2" t="s">
        <v>107</v>
      </c>
      <c r="K2">
        <v>1</v>
      </c>
      <c r="L2" t="s">
        <v>31</v>
      </c>
      <c r="M2">
        <v>1</v>
      </c>
      <c r="N2" t="b">
        <v>1</v>
      </c>
      <c r="O2" t="b">
        <v>0</v>
      </c>
      <c r="P2" t="s">
        <v>1861</v>
      </c>
    </row>
    <row r="3" spans="1:16" x14ac:dyDescent="0.3">
      <c r="A3" t="s">
        <v>138</v>
      </c>
      <c r="B3" t="s">
        <v>1864</v>
      </c>
      <c r="C3" t="s">
        <v>1865</v>
      </c>
      <c r="D3" t="s">
        <v>1861</v>
      </c>
      <c r="E3" t="s">
        <v>1862</v>
      </c>
      <c r="F3">
        <v>1731</v>
      </c>
      <c r="G3" t="s">
        <v>1863</v>
      </c>
      <c r="H3">
        <v>2022</v>
      </c>
      <c r="I3">
        <v>2</v>
      </c>
      <c r="J3" t="s">
        <v>107</v>
      </c>
      <c r="K3">
        <v>1</v>
      </c>
      <c r="L3" t="s">
        <v>31</v>
      </c>
      <c r="M3">
        <v>1</v>
      </c>
      <c r="N3" t="b">
        <v>1</v>
      </c>
      <c r="O3" t="b">
        <v>0</v>
      </c>
      <c r="P3" t="s">
        <v>1861</v>
      </c>
    </row>
    <row r="4" spans="1:16" x14ac:dyDescent="0.3">
      <c r="A4" t="s">
        <v>138</v>
      </c>
      <c r="B4" t="s">
        <v>1866</v>
      </c>
      <c r="C4" t="s">
        <v>1867</v>
      </c>
      <c r="D4" t="s">
        <v>1868</v>
      </c>
      <c r="E4" t="s">
        <v>1862</v>
      </c>
      <c r="F4">
        <v>2272</v>
      </c>
      <c r="G4" t="s">
        <v>1863</v>
      </c>
      <c r="H4">
        <v>2022</v>
      </c>
      <c r="I4">
        <v>2</v>
      </c>
      <c r="J4" t="s">
        <v>107</v>
      </c>
      <c r="K4">
        <v>1</v>
      </c>
      <c r="L4" t="s">
        <v>31</v>
      </c>
      <c r="M4">
        <v>1</v>
      </c>
      <c r="N4" t="b">
        <v>1</v>
      </c>
      <c r="O4" t="b">
        <v>0</v>
      </c>
      <c r="P4" t="s">
        <v>1868</v>
      </c>
    </row>
    <row r="5" spans="1:16" x14ac:dyDescent="0.3">
      <c r="A5" t="s">
        <v>138</v>
      </c>
      <c r="B5" t="s">
        <v>1869</v>
      </c>
      <c r="C5" t="s">
        <v>1870</v>
      </c>
      <c r="D5" t="s">
        <v>1871</v>
      </c>
      <c r="E5" t="s">
        <v>1872</v>
      </c>
      <c r="F5">
        <v>1134</v>
      </c>
      <c r="G5" t="s">
        <v>1863</v>
      </c>
      <c r="H5">
        <v>2022</v>
      </c>
      <c r="I5">
        <v>2</v>
      </c>
      <c r="J5" t="s">
        <v>107</v>
      </c>
      <c r="K5">
        <v>1</v>
      </c>
      <c r="L5" t="s">
        <v>31</v>
      </c>
      <c r="M5">
        <v>1</v>
      </c>
      <c r="N5" t="b">
        <v>0</v>
      </c>
      <c r="O5" t="b">
        <v>1</v>
      </c>
      <c r="P5" t="s">
        <v>1873</v>
      </c>
    </row>
    <row r="6" spans="1:16" x14ac:dyDescent="0.3">
      <c r="A6" t="s">
        <v>200</v>
      </c>
      <c r="B6" t="s">
        <v>1859</v>
      </c>
      <c r="C6" t="s">
        <v>1860</v>
      </c>
      <c r="D6" t="s">
        <v>1861</v>
      </c>
      <c r="E6" t="s">
        <v>1862</v>
      </c>
      <c r="F6">
        <v>1857</v>
      </c>
      <c r="G6" t="s">
        <v>1863</v>
      </c>
      <c r="H6">
        <v>2022</v>
      </c>
      <c r="I6">
        <v>3</v>
      </c>
      <c r="J6" t="s">
        <v>170</v>
      </c>
      <c r="K6">
        <v>1</v>
      </c>
      <c r="L6" t="s">
        <v>31</v>
      </c>
      <c r="M6">
        <v>1</v>
      </c>
      <c r="N6" t="b">
        <v>1</v>
      </c>
      <c r="O6" t="b">
        <v>0</v>
      </c>
      <c r="P6" t="s">
        <v>1861</v>
      </c>
    </row>
    <row r="7" spans="1:16" x14ac:dyDescent="0.3">
      <c r="A7" t="s">
        <v>200</v>
      </c>
      <c r="B7" t="s">
        <v>1864</v>
      </c>
      <c r="C7" t="s">
        <v>1865</v>
      </c>
      <c r="D7" t="s">
        <v>1861</v>
      </c>
      <c r="E7" t="s">
        <v>1862</v>
      </c>
      <c r="F7">
        <v>1807</v>
      </c>
      <c r="G7" t="s">
        <v>1863</v>
      </c>
      <c r="H7">
        <v>2022</v>
      </c>
      <c r="I7">
        <v>3</v>
      </c>
      <c r="J7" t="s">
        <v>170</v>
      </c>
      <c r="K7">
        <v>1</v>
      </c>
      <c r="L7" t="s">
        <v>31</v>
      </c>
      <c r="M7">
        <v>1</v>
      </c>
      <c r="N7" t="b">
        <v>1</v>
      </c>
      <c r="O7" t="b">
        <v>0</v>
      </c>
      <c r="P7" t="s">
        <v>1861</v>
      </c>
    </row>
    <row r="8" spans="1:16" x14ac:dyDescent="0.3">
      <c r="A8" t="s">
        <v>200</v>
      </c>
      <c r="B8" t="s">
        <v>1866</v>
      </c>
      <c r="C8" t="s">
        <v>1867</v>
      </c>
      <c r="D8" t="s">
        <v>1868</v>
      </c>
      <c r="E8" t="s">
        <v>1862</v>
      </c>
      <c r="F8">
        <v>2233</v>
      </c>
      <c r="G8" t="s">
        <v>1863</v>
      </c>
      <c r="H8">
        <v>2022</v>
      </c>
      <c r="I8">
        <v>3</v>
      </c>
      <c r="J8" t="s">
        <v>170</v>
      </c>
      <c r="K8">
        <v>1</v>
      </c>
      <c r="L8" t="s">
        <v>31</v>
      </c>
      <c r="M8">
        <v>1</v>
      </c>
      <c r="N8" t="b">
        <v>1</v>
      </c>
      <c r="O8" t="b">
        <v>0</v>
      </c>
      <c r="P8" t="s">
        <v>1868</v>
      </c>
    </row>
    <row r="9" spans="1:16" x14ac:dyDescent="0.3">
      <c r="A9" t="s">
        <v>200</v>
      </c>
      <c r="B9" t="s">
        <v>1869</v>
      </c>
      <c r="C9" t="s">
        <v>1870</v>
      </c>
      <c r="D9" t="s">
        <v>1871</v>
      </c>
      <c r="E9" t="s">
        <v>1872</v>
      </c>
      <c r="F9">
        <v>1166</v>
      </c>
      <c r="G9" t="s">
        <v>1863</v>
      </c>
      <c r="H9">
        <v>2022</v>
      </c>
      <c r="I9">
        <v>3</v>
      </c>
      <c r="J9" t="s">
        <v>170</v>
      </c>
      <c r="K9">
        <v>1</v>
      </c>
      <c r="L9" t="s">
        <v>31</v>
      </c>
      <c r="M9">
        <v>1</v>
      </c>
      <c r="N9" t="b">
        <v>0</v>
      </c>
      <c r="O9" t="b">
        <v>1</v>
      </c>
      <c r="P9" t="s">
        <v>1873</v>
      </c>
    </row>
    <row r="10" spans="1:16" x14ac:dyDescent="0.3">
      <c r="A10" t="s">
        <v>268</v>
      </c>
      <c r="B10" t="s">
        <v>1859</v>
      </c>
      <c r="C10" t="s">
        <v>1860</v>
      </c>
      <c r="D10" t="s">
        <v>1861</v>
      </c>
      <c r="E10" t="s">
        <v>1862</v>
      </c>
      <c r="F10">
        <v>1779</v>
      </c>
      <c r="G10" t="s">
        <v>1863</v>
      </c>
      <c r="H10">
        <v>2022</v>
      </c>
      <c r="I10">
        <v>4</v>
      </c>
      <c r="J10" t="s">
        <v>238</v>
      </c>
      <c r="K10">
        <v>2</v>
      </c>
      <c r="L10" t="s">
        <v>44</v>
      </c>
      <c r="M10">
        <v>4</v>
      </c>
      <c r="N10" t="b">
        <v>1</v>
      </c>
      <c r="O10" t="b">
        <v>0</v>
      </c>
      <c r="P10" t="s">
        <v>1861</v>
      </c>
    </row>
    <row r="11" spans="1:16" x14ac:dyDescent="0.3">
      <c r="A11" t="s">
        <v>268</v>
      </c>
      <c r="B11" t="s">
        <v>1864</v>
      </c>
      <c r="C11" t="s">
        <v>1865</v>
      </c>
      <c r="D11" t="s">
        <v>1861</v>
      </c>
      <c r="E11" t="s">
        <v>1862</v>
      </c>
      <c r="F11">
        <v>1656</v>
      </c>
      <c r="G11" t="s">
        <v>1863</v>
      </c>
      <c r="H11">
        <v>2022</v>
      </c>
      <c r="I11">
        <v>4</v>
      </c>
      <c r="J11" t="s">
        <v>238</v>
      </c>
      <c r="K11">
        <v>2</v>
      </c>
      <c r="L11" t="s">
        <v>44</v>
      </c>
      <c r="M11">
        <v>4</v>
      </c>
      <c r="N11" t="b">
        <v>1</v>
      </c>
      <c r="O11" t="b">
        <v>0</v>
      </c>
      <c r="P11" t="s">
        <v>1861</v>
      </c>
    </row>
    <row r="12" spans="1:16" x14ac:dyDescent="0.3">
      <c r="A12" t="s">
        <v>268</v>
      </c>
      <c r="B12" t="s">
        <v>1866</v>
      </c>
      <c r="C12" t="s">
        <v>1867</v>
      </c>
      <c r="D12" t="s">
        <v>1868</v>
      </c>
      <c r="E12" t="s">
        <v>1862</v>
      </c>
      <c r="F12">
        <v>2279</v>
      </c>
      <c r="G12" t="s">
        <v>1863</v>
      </c>
      <c r="H12">
        <v>2022</v>
      </c>
      <c r="I12">
        <v>4</v>
      </c>
      <c r="J12" t="s">
        <v>238</v>
      </c>
      <c r="K12">
        <v>2</v>
      </c>
      <c r="L12" t="s">
        <v>44</v>
      </c>
      <c r="M12">
        <v>4</v>
      </c>
      <c r="N12" t="b">
        <v>1</v>
      </c>
      <c r="O12" t="b">
        <v>0</v>
      </c>
      <c r="P12" t="s">
        <v>1868</v>
      </c>
    </row>
    <row r="13" spans="1:16" x14ac:dyDescent="0.3">
      <c r="A13" t="s">
        <v>268</v>
      </c>
      <c r="B13" t="s">
        <v>1869</v>
      </c>
      <c r="C13" t="s">
        <v>1870</v>
      </c>
      <c r="D13" t="s">
        <v>1871</v>
      </c>
      <c r="E13" t="s">
        <v>1872</v>
      </c>
      <c r="F13">
        <v>1113</v>
      </c>
      <c r="G13" t="s">
        <v>1863</v>
      </c>
      <c r="H13">
        <v>2022</v>
      </c>
      <c r="I13">
        <v>4</v>
      </c>
      <c r="J13" t="s">
        <v>238</v>
      </c>
      <c r="K13">
        <v>2</v>
      </c>
      <c r="L13" t="s">
        <v>44</v>
      </c>
      <c r="M13">
        <v>4</v>
      </c>
      <c r="N13" t="b">
        <v>0</v>
      </c>
      <c r="O13" t="b">
        <v>1</v>
      </c>
      <c r="P13" t="s">
        <v>1873</v>
      </c>
    </row>
    <row r="14" spans="1:16" x14ac:dyDescent="0.3">
      <c r="A14" t="s">
        <v>333</v>
      </c>
      <c r="B14" t="s">
        <v>1859</v>
      </c>
      <c r="C14" t="s">
        <v>1860</v>
      </c>
      <c r="D14" t="s">
        <v>1861</v>
      </c>
      <c r="E14" t="s">
        <v>1862</v>
      </c>
      <c r="F14">
        <v>1772</v>
      </c>
      <c r="G14" t="s">
        <v>1863</v>
      </c>
      <c r="H14">
        <v>2022</v>
      </c>
      <c r="I14">
        <v>5</v>
      </c>
      <c r="J14" t="s">
        <v>305</v>
      </c>
      <c r="K14">
        <v>2</v>
      </c>
      <c r="L14" t="s">
        <v>25</v>
      </c>
      <c r="M14">
        <v>6</v>
      </c>
      <c r="N14" t="b">
        <v>1</v>
      </c>
      <c r="O14" t="b">
        <v>0</v>
      </c>
      <c r="P14" t="s">
        <v>1861</v>
      </c>
    </row>
    <row r="15" spans="1:16" x14ac:dyDescent="0.3">
      <c r="A15" t="s">
        <v>333</v>
      </c>
      <c r="B15" t="s">
        <v>1864</v>
      </c>
      <c r="C15" t="s">
        <v>1865</v>
      </c>
      <c r="D15" t="s">
        <v>1861</v>
      </c>
      <c r="E15" t="s">
        <v>1862</v>
      </c>
      <c r="F15">
        <v>1792</v>
      </c>
      <c r="G15" t="s">
        <v>1863</v>
      </c>
      <c r="H15">
        <v>2022</v>
      </c>
      <c r="I15">
        <v>5</v>
      </c>
      <c r="J15" t="s">
        <v>305</v>
      </c>
      <c r="K15">
        <v>2</v>
      </c>
      <c r="L15" t="s">
        <v>25</v>
      </c>
      <c r="M15">
        <v>6</v>
      </c>
      <c r="N15" t="b">
        <v>1</v>
      </c>
      <c r="O15" t="b">
        <v>0</v>
      </c>
      <c r="P15" t="s">
        <v>1861</v>
      </c>
    </row>
    <row r="16" spans="1:16" x14ac:dyDescent="0.3">
      <c r="A16" t="s">
        <v>333</v>
      </c>
      <c r="B16" t="s">
        <v>1866</v>
      </c>
      <c r="C16" t="s">
        <v>1867</v>
      </c>
      <c r="D16" t="s">
        <v>1868</v>
      </c>
      <c r="E16" t="s">
        <v>1862</v>
      </c>
      <c r="F16">
        <v>2248</v>
      </c>
      <c r="G16" t="s">
        <v>1863</v>
      </c>
      <c r="H16">
        <v>2022</v>
      </c>
      <c r="I16">
        <v>5</v>
      </c>
      <c r="J16" t="s">
        <v>305</v>
      </c>
      <c r="K16">
        <v>2</v>
      </c>
      <c r="L16" t="s">
        <v>25</v>
      </c>
      <c r="M16">
        <v>6</v>
      </c>
      <c r="N16" t="b">
        <v>1</v>
      </c>
      <c r="O16" t="b">
        <v>0</v>
      </c>
      <c r="P16" t="s">
        <v>1868</v>
      </c>
    </row>
    <row r="17" spans="1:16" x14ac:dyDescent="0.3">
      <c r="A17" t="s">
        <v>333</v>
      </c>
      <c r="B17" t="s">
        <v>1869</v>
      </c>
      <c r="C17" t="s">
        <v>1870</v>
      </c>
      <c r="D17" t="s">
        <v>1871</v>
      </c>
      <c r="E17" t="s">
        <v>1872</v>
      </c>
      <c r="F17">
        <v>1262</v>
      </c>
      <c r="G17" t="s">
        <v>1863</v>
      </c>
      <c r="H17">
        <v>2022</v>
      </c>
      <c r="I17">
        <v>5</v>
      </c>
      <c r="J17" t="s">
        <v>305</v>
      </c>
      <c r="K17">
        <v>2</v>
      </c>
      <c r="L17" t="s">
        <v>25</v>
      </c>
      <c r="M17">
        <v>6</v>
      </c>
      <c r="N17" t="b">
        <v>0</v>
      </c>
      <c r="O17" t="b">
        <v>1</v>
      </c>
      <c r="P17" t="s">
        <v>1873</v>
      </c>
    </row>
    <row r="18" spans="1:16" x14ac:dyDescent="0.3">
      <c r="A18" t="s">
        <v>400</v>
      </c>
      <c r="B18" t="s">
        <v>1859</v>
      </c>
      <c r="C18" t="s">
        <v>1860</v>
      </c>
      <c r="D18" t="s">
        <v>1861</v>
      </c>
      <c r="E18" t="s">
        <v>1862</v>
      </c>
      <c r="F18">
        <v>1765</v>
      </c>
      <c r="G18" t="s">
        <v>1863</v>
      </c>
      <c r="H18">
        <v>2022</v>
      </c>
      <c r="I18">
        <v>6</v>
      </c>
      <c r="J18" t="s">
        <v>371</v>
      </c>
      <c r="K18">
        <v>2</v>
      </c>
      <c r="L18" t="s">
        <v>38</v>
      </c>
      <c r="M18">
        <v>2</v>
      </c>
      <c r="N18" t="b">
        <v>1</v>
      </c>
      <c r="O18" t="b">
        <v>0</v>
      </c>
      <c r="P18" t="s">
        <v>1861</v>
      </c>
    </row>
    <row r="19" spans="1:16" x14ac:dyDescent="0.3">
      <c r="A19" t="s">
        <v>400</v>
      </c>
      <c r="B19" t="s">
        <v>1864</v>
      </c>
      <c r="C19" t="s">
        <v>1865</v>
      </c>
      <c r="D19" t="s">
        <v>1861</v>
      </c>
      <c r="E19" t="s">
        <v>1862</v>
      </c>
      <c r="F19">
        <v>1740</v>
      </c>
      <c r="G19" t="s">
        <v>1863</v>
      </c>
      <c r="H19">
        <v>2022</v>
      </c>
      <c r="I19">
        <v>6</v>
      </c>
      <c r="J19" t="s">
        <v>371</v>
      </c>
      <c r="K19">
        <v>2</v>
      </c>
      <c r="L19" t="s">
        <v>38</v>
      </c>
      <c r="M19">
        <v>2</v>
      </c>
      <c r="N19" t="b">
        <v>1</v>
      </c>
      <c r="O19" t="b">
        <v>0</v>
      </c>
      <c r="P19" t="s">
        <v>1861</v>
      </c>
    </row>
    <row r="20" spans="1:16" x14ac:dyDescent="0.3">
      <c r="A20" t="s">
        <v>400</v>
      </c>
      <c r="B20" t="s">
        <v>1866</v>
      </c>
      <c r="C20" t="s">
        <v>1867</v>
      </c>
      <c r="D20" t="s">
        <v>1868</v>
      </c>
      <c r="E20" t="s">
        <v>1862</v>
      </c>
      <c r="F20">
        <v>2229</v>
      </c>
      <c r="G20" t="s">
        <v>1863</v>
      </c>
      <c r="H20">
        <v>2022</v>
      </c>
      <c r="I20">
        <v>6</v>
      </c>
      <c r="J20" t="s">
        <v>371</v>
      </c>
      <c r="K20">
        <v>2</v>
      </c>
      <c r="L20" t="s">
        <v>38</v>
      </c>
      <c r="M20">
        <v>2</v>
      </c>
      <c r="N20" t="b">
        <v>1</v>
      </c>
      <c r="O20" t="b">
        <v>0</v>
      </c>
      <c r="P20" t="s">
        <v>1868</v>
      </c>
    </row>
    <row r="21" spans="1:16" x14ac:dyDescent="0.3">
      <c r="A21" t="s">
        <v>400</v>
      </c>
      <c r="B21" t="s">
        <v>1869</v>
      </c>
      <c r="C21" t="s">
        <v>1870</v>
      </c>
      <c r="D21" t="s">
        <v>1871</v>
      </c>
      <c r="E21" t="s">
        <v>1872</v>
      </c>
      <c r="F21">
        <v>1262</v>
      </c>
      <c r="G21" t="s">
        <v>1863</v>
      </c>
      <c r="H21">
        <v>2022</v>
      </c>
      <c r="I21">
        <v>6</v>
      </c>
      <c r="J21" t="s">
        <v>371</v>
      </c>
      <c r="K21">
        <v>2</v>
      </c>
      <c r="L21" t="s">
        <v>38</v>
      </c>
      <c r="M21">
        <v>2</v>
      </c>
      <c r="N21" t="b">
        <v>0</v>
      </c>
      <c r="O21" t="b">
        <v>1</v>
      </c>
      <c r="P21" t="s">
        <v>1873</v>
      </c>
    </row>
    <row r="22" spans="1:16" x14ac:dyDescent="0.3">
      <c r="A22" t="s">
        <v>470</v>
      </c>
      <c r="B22" t="s">
        <v>1859</v>
      </c>
      <c r="C22" t="s">
        <v>1860</v>
      </c>
      <c r="D22" t="s">
        <v>1861</v>
      </c>
      <c r="E22" t="s">
        <v>1862</v>
      </c>
      <c r="F22">
        <v>1719</v>
      </c>
      <c r="G22" t="s">
        <v>1863</v>
      </c>
      <c r="H22">
        <v>2022</v>
      </c>
      <c r="I22">
        <v>7</v>
      </c>
      <c r="J22" t="s">
        <v>441</v>
      </c>
      <c r="K22">
        <v>3</v>
      </c>
      <c r="L22" t="s">
        <v>44</v>
      </c>
      <c r="M22">
        <v>4</v>
      </c>
      <c r="N22" t="b">
        <v>1</v>
      </c>
      <c r="O22" t="b">
        <v>0</v>
      </c>
      <c r="P22" t="s">
        <v>1861</v>
      </c>
    </row>
    <row r="23" spans="1:16" x14ac:dyDescent="0.3">
      <c r="A23" t="s">
        <v>470</v>
      </c>
      <c r="B23" t="s">
        <v>1864</v>
      </c>
      <c r="C23" t="s">
        <v>1865</v>
      </c>
      <c r="D23" t="s">
        <v>1861</v>
      </c>
      <c r="E23" t="s">
        <v>1862</v>
      </c>
      <c r="F23">
        <v>1659</v>
      </c>
      <c r="G23" t="s">
        <v>1863</v>
      </c>
      <c r="H23">
        <v>2022</v>
      </c>
      <c r="I23">
        <v>7</v>
      </c>
      <c r="J23" t="s">
        <v>441</v>
      </c>
      <c r="K23">
        <v>3</v>
      </c>
      <c r="L23" t="s">
        <v>44</v>
      </c>
      <c r="M23">
        <v>4</v>
      </c>
      <c r="N23" t="b">
        <v>1</v>
      </c>
      <c r="O23" t="b">
        <v>0</v>
      </c>
      <c r="P23" t="s">
        <v>1861</v>
      </c>
    </row>
    <row r="24" spans="1:16" x14ac:dyDescent="0.3">
      <c r="A24" t="s">
        <v>470</v>
      </c>
      <c r="B24" t="s">
        <v>1866</v>
      </c>
      <c r="C24" t="s">
        <v>1867</v>
      </c>
      <c r="D24" t="s">
        <v>1868</v>
      </c>
      <c r="E24" t="s">
        <v>1862</v>
      </c>
      <c r="F24">
        <v>2124</v>
      </c>
      <c r="G24" t="s">
        <v>1863</v>
      </c>
      <c r="H24">
        <v>2022</v>
      </c>
      <c r="I24">
        <v>7</v>
      </c>
      <c r="J24" t="s">
        <v>441</v>
      </c>
      <c r="K24">
        <v>3</v>
      </c>
      <c r="L24" t="s">
        <v>44</v>
      </c>
      <c r="M24">
        <v>4</v>
      </c>
      <c r="N24" t="b">
        <v>1</v>
      </c>
      <c r="O24" t="b">
        <v>0</v>
      </c>
      <c r="P24" t="s">
        <v>1868</v>
      </c>
    </row>
    <row r="25" spans="1:16" x14ac:dyDescent="0.3">
      <c r="A25" t="s">
        <v>470</v>
      </c>
      <c r="B25" t="s">
        <v>1869</v>
      </c>
      <c r="C25" t="s">
        <v>1870</v>
      </c>
      <c r="D25" t="s">
        <v>1871</v>
      </c>
      <c r="E25" t="s">
        <v>1872</v>
      </c>
      <c r="F25">
        <v>1293</v>
      </c>
      <c r="G25" t="s">
        <v>1863</v>
      </c>
      <c r="H25">
        <v>2022</v>
      </c>
      <c r="I25">
        <v>7</v>
      </c>
      <c r="J25" t="s">
        <v>441</v>
      </c>
      <c r="K25">
        <v>3</v>
      </c>
      <c r="L25" t="s">
        <v>44</v>
      </c>
      <c r="M25">
        <v>4</v>
      </c>
      <c r="N25" t="b">
        <v>0</v>
      </c>
      <c r="O25" t="b">
        <v>1</v>
      </c>
      <c r="P25" t="s">
        <v>1873</v>
      </c>
    </row>
    <row r="26" spans="1:16" x14ac:dyDescent="0.3">
      <c r="A26" t="s">
        <v>540</v>
      </c>
      <c r="B26" t="s">
        <v>1859</v>
      </c>
      <c r="C26" t="s">
        <v>1860</v>
      </c>
      <c r="D26" t="s">
        <v>1861</v>
      </c>
      <c r="E26" t="s">
        <v>1862</v>
      </c>
      <c r="F26">
        <v>1724</v>
      </c>
      <c r="G26" t="s">
        <v>1863</v>
      </c>
      <c r="H26">
        <v>2022</v>
      </c>
      <c r="I26">
        <v>8</v>
      </c>
      <c r="J26" t="s">
        <v>509</v>
      </c>
      <c r="K26">
        <v>3</v>
      </c>
      <c r="L26" t="s">
        <v>28</v>
      </c>
      <c r="M26">
        <v>0</v>
      </c>
      <c r="N26" t="b">
        <v>1</v>
      </c>
      <c r="O26" t="b">
        <v>0</v>
      </c>
      <c r="P26" t="s">
        <v>1861</v>
      </c>
    </row>
    <row r="27" spans="1:16" x14ac:dyDescent="0.3">
      <c r="A27" t="s">
        <v>540</v>
      </c>
      <c r="B27" t="s">
        <v>1864</v>
      </c>
      <c r="C27" t="s">
        <v>1865</v>
      </c>
      <c r="D27" t="s">
        <v>1861</v>
      </c>
      <c r="E27" t="s">
        <v>1862</v>
      </c>
      <c r="F27">
        <v>1703</v>
      </c>
      <c r="G27" t="s">
        <v>1863</v>
      </c>
      <c r="H27">
        <v>2022</v>
      </c>
      <c r="I27">
        <v>8</v>
      </c>
      <c r="J27" t="s">
        <v>509</v>
      </c>
      <c r="K27">
        <v>3</v>
      </c>
      <c r="L27" t="s">
        <v>28</v>
      </c>
      <c r="M27">
        <v>0</v>
      </c>
      <c r="N27" t="b">
        <v>1</v>
      </c>
      <c r="O27" t="b">
        <v>0</v>
      </c>
      <c r="P27" t="s">
        <v>1861</v>
      </c>
    </row>
    <row r="28" spans="1:16" x14ac:dyDescent="0.3">
      <c r="A28" t="s">
        <v>540</v>
      </c>
      <c r="B28" t="s">
        <v>1866</v>
      </c>
      <c r="C28" t="s">
        <v>1867</v>
      </c>
      <c r="D28" t="s">
        <v>1868</v>
      </c>
      <c r="E28" t="s">
        <v>1862</v>
      </c>
      <c r="F28">
        <v>2132</v>
      </c>
      <c r="G28" t="s">
        <v>1863</v>
      </c>
      <c r="H28">
        <v>2022</v>
      </c>
      <c r="I28">
        <v>8</v>
      </c>
      <c r="J28" t="s">
        <v>509</v>
      </c>
      <c r="K28">
        <v>3</v>
      </c>
      <c r="L28" t="s">
        <v>28</v>
      </c>
      <c r="M28">
        <v>0</v>
      </c>
      <c r="N28" t="b">
        <v>1</v>
      </c>
      <c r="O28" t="b">
        <v>0</v>
      </c>
      <c r="P28" t="s">
        <v>1868</v>
      </c>
    </row>
    <row r="29" spans="1:16" x14ac:dyDescent="0.3">
      <c r="A29" t="s">
        <v>540</v>
      </c>
      <c r="B29" t="s">
        <v>1869</v>
      </c>
      <c r="C29" t="s">
        <v>1870</v>
      </c>
      <c r="D29" t="s">
        <v>1871</v>
      </c>
      <c r="E29" t="s">
        <v>1872</v>
      </c>
      <c r="F29">
        <v>1263</v>
      </c>
      <c r="G29" t="s">
        <v>1863</v>
      </c>
      <c r="H29">
        <v>2022</v>
      </c>
      <c r="I29">
        <v>8</v>
      </c>
      <c r="J29" t="s">
        <v>509</v>
      </c>
      <c r="K29">
        <v>3</v>
      </c>
      <c r="L29" t="s">
        <v>28</v>
      </c>
      <c r="M29">
        <v>0</v>
      </c>
      <c r="N29" t="b">
        <v>0</v>
      </c>
      <c r="O29" t="b">
        <v>1</v>
      </c>
      <c r="P29" t="s">
        <v>1873</v>
      </c>
    </row>
    <row r="30" spans="1:16" x14ac:dyDescent="0.3">
      <c r="A30" t="s">
        <v>610</v>
      </c>
      <c r="B30" t="s">
        <v>1859</v>
      </c>
      <c r="C30" t="s">
        <v>1860</v>
      </c>
      <c r="D30" t="s">
        <v>1861</v>
      </c>
      <c r="E30" t="s">
        <v>1862</v>
      </c>
      <c r="F30">
        <v>1794</v>
      </c>
      <c r="G30" t="s">
        <v>1863</v>
      </c>
      <c r="H30">
        <v>2022</v>
      </c>
      <c r="I30">
        <v>9</v>
      </c>
      <c r="J30" t="s">
        <v>581</v>
      </c>
      <c r="K30">
        <v>3</v>
      </c>
      <c r="L30" t="s">
        <v>41</v>
      </c>
      <c r="M30">
        <v>3</v>
      </c>
      <c r="N30" t="b">
        <v>1</v>
      </c>
      <c r="O30" t="b">
        <v>0</v>
      </c>
      <c r="P30" t="s">
        <v>1861</v>
      </c>
    </row>
    <row r="31" spans="1:16" x14ac:dyDescent="0.3">
      <c r="A31" t="s">
        <v>610</v>
      </c>
      <c r="B31" t="s">
        <v>1864</v>
      </c>
      <c r="C31" t="s">
        <v>1865</v>
      </c>
      <c r="D31" t="s">
        <v>1861</v>
      </c>
      <c r="E31" t="s">
        <v>1862</v>
      </c>
      <c r="F31">
        <v>1663</v>
      </c>
      <c r="G31" t="s">
        <v>1863</v>
      </c>
      <c r="H31">
        <v>2022</v>
      </c>
      <c r="I31">
        <v>9</v>
      </c>
      <c r="J31" t="s">
        <v>581</v>
      </c>
      <c r="K31">
        <v>3</v>
      </c>
      <c r="L31" t="s">
        <v>41</v>
      </c>
      <c r="M31">
        <v>3</v>
      </c>
      <c r="N31" t="b">
        <v>1</v>
      </c>
      <c r="O31" t="b">
        <v>0</v>
      </c>
      <c r="P31" t="s">
        <v>1861</v>
      </c>
    </row>
    <row r="32" spans="1:16" x14ac:dyDescent="0.3">
      <c r="A32" t="s">
        <v>610</v>
      </c>
      <c r="B32" t="s">
        <v>1866</v>
      </c>
      <c r="C32" t="s">
        <v>1867</v>
      </c>
      <c r="D32" t="s">
        <v>1868</v>
      </c>
      <c r="E32" t="s">
        <v>1862</v>
      </c>
      <c r="F32">
        <v>2164</v>
      </c>
      <c r="G32" t="s">
        <v>1863</v>
      </c>
      <c r="H32">
        <v>2022</v>
      </c>
      <c r="I32">
        <v>9</v>
      </c>
      <c r="J32" t="s">
        <v>581</v>
      </c>
      <c r="K32">
        <v>3</v>
      </c>
      <c r="L32" t="s">
        <v>41</v>
      </c>
      <c r="M32">
        <v>3</v>
      </c>
      <c r="N32" t="b">
        <v>1</v>
      </c>
      <c r="O32" t="b">
        <v>0</v>
      </c>
      <c r="P32" t="s">
        <v>1868</v>
      </c>
    </row>
    <row r="33" spans="1:16" x14ac:dyDescent="0.3">
      <c r="A33" t="s">
        <v>610</v>
      </c>
      <c r="B33" t="s">
        <v>1869</v>
      </c>
      <c r="C33" t="s">
        <v>1870</v>
      </c>
      <c r="D33" t="s">
        <v>1871</v>
      </c>
      <c r="E33" t="s">
        <v>1872</v>
      </c>
      <c r="F33">
        <v>1209</v>
      </c>
      <c r="G33" t="s">
        <v>1863</v>
      </c>
      <c r="H33">
        <v>2022</v>
      </c>
      <c r="I33">
        <v>9</v>
      </c>
      <c r="J33" t="s">
        <v>581</v>
      </c>
      <c r="K33">
        <v>3</v>
      </c>
      <c r="L33" t="s">
        <v>41</v>
      </c>
      <c r="M33">
        <v>3</v>
      </c>
      <c r="N33" t="b">
        <v>0</v>
      </c>
      <c r="O33" t="b">
        <v>1</v>
      </c>
      <c r="P33" t="s">
        <v>1873</v>
      </c>
    </row>
    <row r="34" spans="1:16" x14ac:dyDescent="0.3">
      <c r="A34" t="s">
        <v>677</v>
      </c>
      <c r="B34" t="s">
        <v>1859</v>
      </c>
      <c r="C34" t="s">
        <v>1860</v>
      </c>
      <c r="D34" t="s">
        <v>1861</v>
      </c>
      <c r="E34" t="s">
        <v>1862</v>
      </c>
      <c r="F34">
        <v>1779</v>
      </c>
      <c r="G34" t="s">
        <v>1863</v>
      </c>
      <c r="H34">
        <v>2022</v>
      </c>
      <c r="I34">
        <v>10</v>
      </c>
      <c r="J34" t="s">
        <v>647</v>
      </c>
      <c r="K34">
        <v>4</v>
      </c>
      <c r="L34" t="s">
        <v>22</v>
      </c>
      <c r="M34">
        <v>5</v>
      </c>
      <c r="N34" t="b">
        <v>1</v>
      </c>
      <c r="O34" t="b">
        <v>0</v>
      </c>
      <c r="P34" t="s">
        <v>1861</v>
      </c>
    </row>
    <row r="35" spans="1:16" x14ac:dyDescent="0.3">
      <c r="A35" t="s">
        <v>677</v>
      </c>
      <c r="B35" t="s">
        <v>1864</v>
      </c>
      <c r="C35" t="s">
        <v>1865</v>
      </c>
      <c r="D35" t="s">
        <v>1861</v>
      </c>
      <c r="E35" t="s">
        <v>1862</v>
      </c>
      <c r="F35">
        <v>1703</v>
      </c>
      <c r="G35" t="s">
        <v>1863</v>
      </c>
      <c r="H35">
        <v>2022</v>
      </c>
      <c r="I35">
        <v>10</v>
      </c>
      <c r="J35" t="s">
        <v>647</v>
      </c>
      <c r="K35">
        <v>4</v>
      </c>
      <c r="L35" t="s">
        <v>22</v>
      </c>
      <c r="M35">
        <v>5</v>
      </c>
      <c r="N35" t="b">
        <v>1</v>
      </c>
      <c r="O35" t="b">
        <v>0</v>
      </c>
      <c r="P35" t="s">
        <v>1861</v>
      </c>
    </row>
    <row r="36" spans="1:16" x14ac:dyDescent="0.3">
      <c r="A36" t="s">
        <v>677</v>
      </c>
      <c r="B36" t="s">
        <v>1866</v>
      </c>
      <c r="C36" t="s">
        <v>1867</v>
      </c>
      <c r="D36" t="s">
        <v>1868</v>
      </c>
      <c r="E36" t="s">
        <v>1862</v>
      </c>
      <c r="F36">
        <v>2224</v>
      </c>
      <c r="G36" t="s">
        <v>1863</v>
      </c>
      <c r="H36">
        <v>2022</v>
      </c>
      <c r="I36">
        <v>10</v>
      </c>
      <c r="J36" t="s">
        <v>647</v>
      </c>
      <c r="K36">
        <v>4</v>
      </c>
      <c r="L36" t="s">
        <v>22</v>
      </c>
      <c r="M36">
        <v>5</v>
      </c>
      <c r="N36" t="b">
        <v>1</v>
      </c>
      <c r="O36" t="b">
        <v>0</v>
      </c>
      <c r="P36" t="s">
        <v>1868</v>
      </c>
    </row>
    <row r="37" spans="1:16" x14ac:dyDescent="0.3">
      <c r="A37" t="s">
        <v>677</v>
      </c>
      <c r="B37" t="s">
        <v>1869</v>
      </c>
      <c r="C37" t="s">
        <v>1870</v>
      </c>
      <c r="D37" t="s">
        <v>1871</v>
      </c>
      <c r="E37" t="s">
        <v>1872</v>
      </c>
      <c r="F37">
        <v>1279</v>
      </c>
      <c r="G37" t="s">
        <v>1863</v>
      </c>
      <c r="H37">
        <v>2022</v>
      </c>
      <c r="I37">
        <v>10</v>
      </c>
      <c r="J37" t="s">
        <v>647</v>
      </c>
      <c r="K37">
        <v>4</v>
      </c>
      <c r="L37" t="s">
        <v>22</v>
      </c>
      <c r="M37">
        <v>5</v>
      </c>
      <c r="N37" t="b">
        <v>0</v>
      </c>
      <c r="O37" t="b">
        <v>1</v>
      </c>
      <c r="P37" t="s">
        <v>1873</v>
      </c>
    </row>
    <row r="38" spans="1:16" x14ac:dyDescent="0.3">
      <c r="A38" t="s">
        <v>743</v>
      </c>
      <c r="B38" t="s">
        <v>1859</v>
      </c>
      <c r="C38" t="s">
        <v>1860</v>
      </c>
      <c r="D38" t="s">
        <v>1861</v>
      </c>
      <c r="E38" t="s">
        <v>1862</v>
      </c>
      <c r="F38">
        <v>1830</v>
      </c>
      <c r="G38" t="s">
        <v>1863</v>
      </c>
      <c r="H38">
        <v>2022</v>
      </c>
      <c r="I38">
        <v>11</v>
      </c>
      <c r="J38" t="s">
        <v>714</v>
      </c>
      <c r="K38">
        <v>4</v>
      </c>
      <c r="L38" t="s">
        <v>31</v>
      </c>
      <c r="M38">
        <v>1</v>
      </c>
      <c r="N38" t="b">
        <v>1</v>
      </c>
      <c r="O38" t="b">
        <v>0</v>
      </c>
      <c r="P38" t="s">
        <v>1861</v>
      </c>
    </row>
    <row r="39" spans="1:16" x14ac:dyDescent="0.3">
      <c r="A39" t="s">
        <v>743</v>
      </c>
      <c r="B39" t="s">
        <v>1864</v>
      </c>
      <c r="C39" t="s">
        <v>1865</v>
      </c>
      <c r="D39" t="s">
        <v>1861</v>
      </c>
      <c r="E39" t="s">
        <v>1862</v>
      </c>
      <c r="F39">
        <v>1818</v>
      </c>
      <c r="G39" t="s">
        <v>1863</v>
      </c>
      <c r="H39">
        <v>2022</v>
      </c>
      <c r="I39">
        <v>11</v>
      </c>
      <c r="J39" t="s">
        <v>714</v>
      </c>
      <c r="K39">
        <v>4</v>
      </c>
      <c r="L39" t="s">
        <v>31</v>
      </c>
      <c r="M39">
        <v>1</v>
      </c>
      <c r="N39" t="b">
        <v>1</v>
      </c>
      <c r="O39" t="b">
        <v>0</v>
      </c>
      <c r="P39" t="s">
        <v>1861</v>
      </c>
    </row>
    <row r="40" spans="1:16" x14ac:dyDescent="0.3">
      <c r="A40" t="s">
        <v>743</v>
      </c>
      <c r="B40" t="s">
        <v>1866</v>
      </c>
      <c r="C40" t="s">
        <v>1867</v>
      </c>
      <c r="D40" t="s">
        <v>1868</v>
      </c>
      <c r="E40" t="s">
        <v>1862</v>
      </c>
      <c r="F40">
        <v>2233</v>
      </c>
      <c r="G40" t="s">
        <v>1863</v>
      </c>
      <c r="H40">
        <v>2022</v>
      </c>
      <c r="I40">
        <v>11</v>
      </c>
      <c r="J40" t="s">
        <v>714</v>
      </c>
      <c r="K40">
        <v>4</v>
      </c>
      <c r="L40" t="s">
        <v>31</v>
      </c>
      <c r="M40">
        <v>1</v>
      </c>
      <c r="N40" t="b">
        <v>1</v>
      </c>
      <c r="O40" t="b">
        <v>0</v>
      </c>
      <c r="P40" t="s">
        <v>1868</v>
      </c>
    </row>
    <row r="41" spans="1:16" x14ac:dyDescent="0.3">
      <c r="A41" t="s">
        <v>743</v>
      </c>
      <c r="B41" t="s">
        <v>1869</v>
      </c>
      <c r="C41" t="s">
        <v>1870</v>
      </c>
      <c r="D41" t="s">
        <v>1871</v>
      </c>
      <c r="E41" t="s">
        <v>1872</v>
      </c>
      <c r="F41">
        <v>1124</v>
      </c>
      <c r="G41" t="s">
        <v>1863</v>
      </c>
      <c r="H41">
        <v>2022</v>
      </c>
      <c r="I41">
        <v>11</v>
      </c>
      <c r="J41" t="s">
        <v>714</v>
      </c>
      <c r="K41">
        <v>4</v>
      </c>
      <c r="L41" t="s">
        <v>31</v>
      </c>
      <c r="M41">
        <v>1</v>
      </c>
      <c r="N41" t="b">
        <v>0</v>
      </c>
      <c r="O41" t="b">
        <v>1</v>
      </c>
      <c r="P41" t="s">
        <v>1873</v>
      </c>
    </row>
    <row r="42" spans="1:16" x14ac:dyDescent="0.3">
      <c r="A42" t="s">
        <v>814</v>
      </c>
      <c r="B42" t="s">
        <v>1859</v>
      </c>
      <c r="C42" t="s">
        <v>1860</v>
      </c>
      <c r="D42" t="s">
        <v>1861</v>
      </c>
      <c r="E42" t="s">
        <v>1862</v>
      </c>
      <c r="F42">
        <v>1840</v>
      </c>
      <c r="G42" t="s">
        <v>1863</v>
      </c>
      <c r="H42">
        <v>2022</v>
      </c>
      <c r="I42">
        <v>12</v>
      </c>
      <c r="J42" t="s">
        <v>783</v>
      </c>
      <c r="K42">
        <v>4</v>
      </c>
      <c r="L42" t="s">
        <v>41</v>
      </c>
      <c r="M42">
        <v>3</v>
      </c>
      <c r="N42" t="b">
        <v>1</v>
      </c>
      <c r="O42" t="b">
        <v>0</v>
      </c>
      <c r="P42" t="s">
        <v>1861</v>
      </c>
    </row>
    <row r="43" spans="1:16" x14ac:dyDescent="0.3">
      <c r="A43" t="s">
        <v>814</v>
      </c>
      <c r="B43" t="s">
        <v>1864</v>
      </c>
      <c r="C43" t="s">
        <v>1865</v>
      </c>
      <c r="D43" t="s">
        <v>1861</v>
      </c>
      <c r="E43" t="s">
        <v>1862</v>
      </c>
      <c r="F43">
        <v>1766</v>
      </c>
      <c r="G43" t="s">
        <v>1863</v>
      </c>
      <c r="H43">
        <v>2022</v>
      </c>
      <c r="I43">
        <v>12</v>
      </c>
      <c r="J43" t="s">
        <v>783</v>
      </c>
      <c r="K43">
        <v>4</v>
      </c>
      <c r="L43" t="s">
        <v>41</v>
      </c>
      <c r="M43">
        <v>3</v>
      </c>
      <c r="N43" t="b">
        <v>1</v>
      </c>
      <c r="O43" t="b">
        <v>0</v>
      </c>
      <c r="P43" t="s">
        <v>1861</v>
      </c>
    </row>
    <row r="44" spans="1:16" x14ac:dyDescent="0.3">
      <c r="A44" t="s">
        <v>814</v>
      </c>
      <c r="B44" t="s">
        <v>1866</v>
      </c>
      <c r="C44" t="s">
        <v>1867</v>
      </c>
      <c r="D44" t="s">
        <v>1868</v>
      </c>
      <c r="E44" t="s">
        <v>1862</v>
      </c>
      <c r="F44">
        <v>2235</v>
      </c>
      <c r="G44" t="s">
        <v>1863</v>
      </c>
      <c r="H44">
        <v>2022</v>
      </c>
      <c r="I44">
        <v>12</v>
      </c>
      <c r="J44" t="s">
        <v>783</v>
      </c>
      <c r="K44">
        <v>4</v>
      </c>
      <c r="L44" t="s">
        <v>41</v>
      </c>
      <c r="M44">
        <v>3</v>
      </c>
      <c r="N44" t="b">
        <v>1</v>
      </c>
      <c r="O44" t="b">
        <v>0</v>
      </c>
      <c r="P44" t="s">
        <v>1868</v>
      </c>
    </row>
    <row r="45" spans="1:16" x14ac:dyDescent="0.3">
      <c r="A45" t="s">
        <v>814</v>
      </c>
      <c r="B45" t="s">
        <v>1869</v>
      </c>
      <c r="C45" t="s">
        <v>1870</v>
      </c>
      <c r="D45" t="s">
        <v>1871</v>
      </c>
      <c r="E45" t="s">
        <v>1872</v>
      </c>
      <c r="F45">
        <v>1248</v>
      </c>
      <c r="G45" t="s">
        <v>1863</v>
      </c>
      <c r="H45">
        <v>2022</v>
      </c>
      <c r="I45">
        <v>12</v>
      </c>
      <c r="J45" t="s">
        <v>783</v>
      </c>
      <c r="K45">
        <v>4</v>
      </c>
      <c r="L45" t="s">
        <v>41</v>
      </c>
      <c r="M45">
        <v>3</v>
      </c>
      <c r="N45" t="b">
        <v>0</v>
      </c>
      <c r="O45" t="b">
        <v>1</v>
      </c>
      <c r="P45" t="s">
        <v>1873</v>
      </c>
    </row>
    <row r="46" spans="1:16" x14ac:dyDescent="0.3">
      <c r="A46" t="s">
        <v>883</v>
      </c>
      <c r="B46" t="s">
        <v>1859</v>
      </c>
      <c r="C46" t="s">
        <v>1860</v>
      </c>
      <c r="D46" t="s">
        <v>1861</v>
      </c>
      <c r="E46" t="s">
        <v>1862</v>
      </c>
      <c r="F46">
        <v>1895</v>
      </c>
      <c r="G46" t="s">
        <v>1863</v>
      </c>
      <c r="H46">
        <v>2023</v>
      </c>
      <c r="I46">
        <v>1</v>
      </c>
      <c r="J46" t="s">
        <v>21</v>
      </c>
      <c r="K46">
        <v>1</v>
      </c>
      <c r="L46" t="s">
        <v>25</v>
      </c>
      <c r="M46">
        <v>6</v>
      </c>
      <c r="N46" t="b">
        <v>1</v>
      </c>
      <c r="O46" t="b">
        <v>0</v>
      </c>
      <c r="P46" t="s">
        <v>1861</v>
      </c>
    </row>
    <row r="47" spans="1:16" x14ac:dyDescent="0.3">
      <c r="A47" t="s">
        <v>883</v>
      </c>
      <c r="B47" t="s">
        <v>1864</v>
      </c>
      <c r="C47" t="s">
        <v>1865</v>
      </c>
      <c r="D47" t="s">
        <v>1861</v>
      </c>
      <c r="E47" t="s">
        <v>1862</v>
      </c>
      <c r="F47">
        <v>1674</v>
      </c>
      <c r="G47" t="s">
        <v>1863</v>
      </c>
      <c r="H47">
        <v>2023</v>
      </c>
      <c r="I47">
        <v>1</v>
      </c>
      <c r="J47" t="s">
        <v>21</v>
      </c>
      <c r="K47">
        <v>1</v>
      </c>
      <c r="L47" t="s">
        <v>25</v>
      </c>
      <c r="M47">
        <v>6</v>
      </c>
      <c r="N47" t="b">
        <v>1</v>
      </c>
      <c r="O47" t="b">
        <v>0</v>
      </c>
      <c r="P47" t="s">
        <v>1861</v>
      </c>
    </row>
    <row r="48" spans="1:16" x14ac:dyDescent="0.3">
      <c r="A48" t="s">
        <v>883</v>
      </c>
      <c r="B48" t="s">
        <v>1866</v>
      </c>
      <c r="C48" t="s">
        <v>1867</v>
      </c>
      <c r="D48" t="s">
        <v>1868</v>
      </c>
      <c r="E48" t="s">
        <v>1862</v>
      </c>
      <c r="F48">
        <v>2178</v>
      </c>
      <c r="G48" t="s">
        <v>1863</v>
      </c>
      <c r="H48">
        <v>2023</v>
      </c>
      <c r="I48">
        <v>1</v>
      </c>
      <c r="J48" t="s">
        <v>21</v>
      </c>
      <c r="K48">
        <v>1</v>
      </c>
      <c r="L48" t="s">
        <v>25</v>
      </c>
      <c r="M48">
        <v>6</v>
      </c>
      <c r="N48" t="b">
        <v>1</v>
      </c>
      <c r="O48" t="b">
        <v>0</v>
      </c>
      <c r="P48" t="s">
        <v>1868</v>
      </c>
    </row>
    <row r="49" spans="1:16" x14ac:dyDescent="0.3">
      <c r="A49" t="s">
        <v>883</v>
      </c>
      <c r="B49" t="s">
        <v>1869</v>
      </c>
      <c r="C49" t="s">
        <v>1870</v>
      </c>
      <c r="D49" t="s">
        <v>1871</v>
      </c>
      <c r="E49" t="s">
        <v>1872</v>
      </c>
      <c r="F49">
        <v>1167</v>
      </c>
      <c r="G49" t="s">
        <v>1863</v>
      </c>
      <c r="H49">
        <v>2023</v>
      </c>
      <c r="I49">
        <v>1</v>
      </c>
      <c r="J49" t="s">
        <v>21</v>
      </c>
      <c r="K49">
        <v>1</v>
      </c>
      <c r="L49" t="s">
        <v>25</v>
      </c>
      <c r="M49">
        <v>6</v>
      </c>
      <c r="N49" t="b">
        <v>0</v>
      </c>
      <c r="O49" t="b">
        <v>1</v>
      </c>
      <c r="P49" t="s">
        <v>1873</v>
      </c>
    </row>
    <row r="50" spans="1:16" x14ac:dyDescent="0.3">
      <c r="A50" t="s">
        <v>950</v>
      </c>
      <c r="B50" t="s">
        <v>1859</v>
      </c>
      <c r="C50" t="s">
        <v>1860</v>
      </c>
      <c r="D50" t="s">
        <v>1861</v>
      </c>
      <c r="E50" t="s">
        <v>1862</v>
      </c>
      <c r="F50">
        <v>1872</v>
      </c>
      <c r="G50" t="s">
        <v>1863</v>
      </c>
      <c r="H50">
        <v>2023</v>
      </c>
      <c r="I50">
        <v>2</v>
      </c>
      <c r="J50" t="s">
        <v>107</v>
      </c>
      <c r="K50">
        <v>1</v>
      </c>
      <c r="L50" t="s">
        <v>38</v>
      </c>
      <c r="M50">
        <v>2</v>
      </c>
      <c r="N50" t="b">
        <v>1</v>
      </c>
      <c r="O50" t="b">
        <v>0</v>
      </c>
      <c r="P50" t="s">
        <v>1861</v>
      </c>
    </row>
    <row r="51" spans="1:16" x14ac:dyDescent="0.3">
      <c r="A51" t="s">
        <v>950</v>
      </c>
      <c r="B51" t="s">
        <v>1864</v>
      </c>
      <c r="C51" t="s">
        <v>1865</v>
      </c>
      <c r="D51" t="s">
        <v>1861</v>
      </c>
      <c r="E51" t="s">
        <v>1862</v>
      </c>
      <c r="F51">
        <v>1837</v>
      </c>
      <c r="G51" t="s">
        <v>1863</v>
      </c>
      <c r="H51">
        <v>2023</v>
      </c>
      <c r="I51">
        <v>2</v>
      </c>
      <c r="J51" t="s">
        <v>107</v>
      </c>
      <c r="K51">
        <v>1</v>
      </c>
      <c r="L51" t="s">
        <v>38</v>
      </c>
      <c r="M51">
        <v>2</v>
      </c>
      <c r="N51" t="b">
        <v>1</v>
      </c>
      <c r="O51" t="b">
        <v>0</v>
      </c>
      <c r="P51" t="s">
        <v>1861</v>
      </c>
    </row>
    <row r="52" spans="1:16" x14ac:dyDescent="0.3">
      <c r="A52" t="s">
        <v>950</v>
      </c>
      <c r="B52" t="s">
        <v>1866</v>
      </c>
      <c r="C52" t="s">
        <v>1867</v>
      </c>
      <c r="D52" t="s">
        <v>1868</v>
      </c>
      <c r="E52" t="s">
        <v>1862</v>
      </c>
      <c r="F52">
        <v>2111</v>
      </c>
      <c r="G52" t="s">
        <v>1863</v>
      </c>
      <c r="H52">
        <v>2023</v>
      </c>
      <c r="I52">
        <v>2</v>
      </c>
      <c r="J52" t="s">
        <v>107</v>
      </c>
      <c r="K52">
        <v>1</v>
      </c>
      <c r="L52" t="s">
        <v>38</v>
      </c>
      <c r="M52">
        <v>2</v>
      </c>
      <c r="N52" t="b">
        <v>1</v>
      </c>
      <c r="O52" t="b">
        <v>0</v>
      </c>
      <c r="P52" t="s">
        <v>1868</v>
      </c>
    </row>
    <row r="53" spans="1:16" x14ac:dyDescent="0.3">
      <c r="A53" t="s">
        <v>950</v>
      </c>
      <c r="B53" t="s">
        <v>1869</v>
      </c>
      <c r="C53" t="s">
        <v>1870</v>
      </c>
      <c r="D53" t="s">
        <v>1871</v>
      </c>
      <c r="E53" t="s">
        <v>1872</v>
      </c>
      <c r="F53">
        <v>1131</v>
      </c>
      <c r="G53" t="s">
        <v>1863</v>
      </c>
      <c r="H53">
        <v>2023</v>
      </c>
      <c r="I53">
        <v>2</v>
      </c>
      <c r="J53" t="s">
        <v>107</v>
      </c>
      <c r="K53">
        <v>1</v>
      </c>
      <c r="L53" t="s">
        <v>38</v>
      </c>
      <c r="M53">
        <v>2</v>
      </c>
      <c r="N53" t="b">
        <v>0</v>
      </c>
      <c r="O53" t="b">
        <v>1</v>
      </c>
      <c r="P53" t="s">
        <v>1873</v>
      </c>
    </row>
    <row r="54" spans="1:16" x14ac:dyDescent="0.3">
      <c r="A54" t="s">
        <v>1009</v>
      </c>
      <c r="B54" t="s">
        <v>1859</v>
      </c>
      <c r="C54" t="s">
        <v>1860</v>
      </c>
      <c r="D54" t="s">
        <v>1861</v>
      </c>
      <c r="E54" t="s">
        <v>1862</v>
      </c>
      <c r="F54">
        <v>1827</v>
      </c>
      <c r="G54" t="s">
        <v>1863</v>
      </c>
      <c r="H54">
        <v>2023</v>
      </c>
      <c r="I54">
        <v>3</v>
      </c>
      <c r="J54" t="s">
        <v>170</v>
      </c>
      <c r="K54">
        <v>1</v>
      </c>
      <c r="L54" t="s">
        <v>38</v>
      </c>
      <c r="M54">
        <v>2</v>
      </c>
      <c r="N54" t="b">
        <v>1</v>
      </c>
      <c r="O54" t="b">
        <v>0</v>
      </c>
      <c r="P54" t="s">
        <v>1861</v>
      </c>
    </row>
    <row r="55" spans="1:16" x14ac:dyDescent="0.3">
      <c r="A55" t="s">
        <v>1009</v>
      </c>
      <c r="B55" t="s">
        <v>1864</v>
      </c>
      <c r="C55" t="s">
        <v>1865</v>
      </c>
      <c r="D55" t="s">
        <v>1861</v>
      </c>
      <c r="E55" t="s">
        <v>1862</v>
      </c>
      <c r="F55">
        <v>1745</v>
      </c>
      <c r="G55" t="s">
        <v>1863</v>
      </c>
      <c r="H55">
        <v>2023</v>
      </c>
      <c r="I55">
        <v>3</v>
      </c>
      <c r="J55" t="s">
        <v>170</v>
      </c>
      <c r="K55">
        <v>1</v>
      </c>
      <c r="L55" t="s">
        <v>38</v>
      </c>
      <c r="M55">
        <v>2</v>
      </c>
      <c r="N55" t="b">
        <v>1</v>
      </c>
      <c r="O55" t="b">
        <v>0</v>
      </c>
      <c r="P55" t="s">
        <v>1861</v>
      </c>
    </row>
    <row r="56" spans="1:16" x14ac:dyDescent="0.3">
      <c r="A56" t="s">
        <v>1009</v>
      </c>
      <c r="B56" t="s">
        <v>1866</v>
      </c>
      <c r="C56" t="s">
        <v>1867</v>
      </c>
      <c r="D56" t="s">
        <v>1868</v>
      </c>
      <c r="E56" t="s">
        <v>1862</v>
      </c>
      <c r="F56">
        <v>2191</v>
      </c>
      <c r="G56" t="s">
        <v>1863</v>
      </c>
      <c r="H56">
        <v>2023</v>
      </c>
      <c r="I56">
        <v>3</v>
      </c>
      <c r="J56" t="s">
        <v>170</v>
      </c>
      <c r="K56">
        <v>1</v>
      </c>
      <c r="L56" t="s">
        <v>38</v>
      </c>
      <c r="M56">
        <v>2</v>
      </c>
      <c r="N56" t="b">
        <v>1</v>
      </c>
      <c r="O56" t="b">
        <v>0</v>
      </c>
      <c r="P56" t="s">
        <v>1868</v>
      </c>
    </row>
    <row r="57" spans="1:16" x14ac:dyDescent="0.3">
      <c r="A57" t="s">
        <v>1009</v>
      </c>
      <c r="B57" t="s">
        <v>1869</v>
      </c>
      <c r="C57" t="s">
        <v>1870</v>
      </c>
      <c r="D57" t="s">
        <v>1871</v>
      </c>
      <c r="E57" t="s">
        <v>1872</v>
      </c>
      <c r="F57">
        <v>1240</v>
      </c>
      <c r="G57" t="s">
        <v>1863</v>
      </c>
      <c r="H57">
        <v>2023</v>
      </c>
      <c r="I57">
        <v>3</v>
      </c>
      <c r="J57" t="s">
        <v>170</v>
      </c>
      <c r="K57">
        <v>1</v>
      </c>
      <c r="L57" t="s">
        <v>38</v>
      </c>
      <c r="M57">
        <v>2</v>
      </c>
      <c r="N57" t="b">
        <v>0</v>
      </c>
      <c r="O57" t="b">
        <v>1</v>
      </c>
      <c r="P57" t="s">
        <v>1873</v>
      </c>
    </row>
    <row r="58" spans="1:16" x14ac:dyDescent="0.3">
      <c r="A58" t="s">
        <v>1077</v>
      </c>
      <c r="B58" t="s">
        <v>1859</v>
      </c>
      <c r="C58" t="s">
        <v>1860</v>
      </c>
      <c r="D58" t="s">
        <v>1861</v>
      </c>
      <c r="E58" t="s">
        <v>1862</v>
      </c>
      <c r="F58">
        <v>1730</v>
      </c>
      <c r="G58" t="s">
        <v>1863</v>
      </c>
      <c r="H58">
        <v>2023</v>
      </c>
      <c r="I58">
        <v>4</v>
      </c>
      <c r="J58" t="s">
        <v>238</v>
      </c>
      <c r="K58">
        <v>2</v>
      </c>
      <c r="L58" t="s">
        <v>22</v>
      </c>
      <c r="M58">
        <v>5</v>
      </c>
      <c r="N58" t="b">
        <v>1</v>
      </c>
      <c r="O58" t="b">
        <v>0</v>
      </c>
      <c r="P58" t="s">
        <v>1861</v>
      </c>
    </row>
    <row r="59" spans="1:16" x14ac:dyDescent="0.3">
      <c r="A59" t="s">
        <v>1077</v>
      </c>
      <c r="B59" t="s">
        <v>1864</v>
      </c>
      <c r="C59" t="s">
        <v>1865</v>
      </c>
      <c r="D59" t="s">
        <v>1861</v>
      </c>
      <c r="E59" t="s">
        <v>1862</v>
      </c>
      <c r="F59">
        <v>1727</v>
      </c>
      <c r="G59" t="s">
        <v>1863</v>
      </c>
      <c r="H59">
        <v>2023</v>
      </c>
      <c r="I59">
        <v>4</v>
      </c>
      <c r="J59" t="s">
        <v>238</v>
      </c>
      <c r="K59">
        <v>2</v>
      </c>
      <c r="L59" t="s">
        <v>22</v>
      </c>
      <c r="M59">
        <v>5</v>
      </c>
      <c r="N59" t="b">
        <v>1</v>
      </c>
      <c r="O59" t="b">
        <v>0</v>
      </c>
      <c r="P59" t="s">
        <v>1861</v>
      </c>
    </row>
    <row r="60" spans="1:16" x14ac:dyDescent="0.3">
      <c r="A60" t="s">
        <v>1077</v>
      </c>
      <c r="B60" t="s">
        <v>1866</v>
      </c>
      <c r="C60" t="s">
        <v>1867</v>
      </c>
      <c r="D60" t="s">
        <v>1868</v>
      </c>
      <c r="E60" t="s">
        <v>1862</v>
      </c>
      <c r="F60">
        <v>2119</v>
      </c>
      <c r="G60" t="s">
        <v>1863</v>
      </c>
      <c r="H60">
        <v>2023</v>
      </c>
      <c r="I60">
        <v>4</v>
      </c>
      <c r="J60" t="s">
        <v>238</v>
      </c>
      <c r="K60">
        <v>2</v>
      </c>
      <c r="L60" t="s">
        <v>22</v>
      </c>
      <c r="M60">
        <v>5</v>
      </c>
      <c r="N60" t="b">
        <v>1</v>
      </c>
      <c r="O60" t="b">
        <v>0</v>
      </c>
      <c r="P60" t="s">
        <v>1868</v>
      </c>
    </row>
    <row r="61" spans="1:16" x14ac:dyDescent="0.3">
      <c r="A61" t="s">
        <v>1077</v>
      </c>
      <c r="B61" t="s">
        <v>1869</v>
      </c>
      <c r="C61" t="s">
        <v>1870</v>
      </c>
      <c r="D61" t="s">
        <v>1871</v>
      </c>
      <c r="E61" t="s">
        <v>1872</v>
      </c>
      <c r="F61">
        <v>1245</v>
      </c>
      <c r="G61" t="s">
        <v>1863</v>
      </c>
      <c r="H61">
        <v>2023</v>
      </c>
      <c r="I61">
        <v>4</v>
      </c>
      <c r="J61" t="s">
        <v>238</v>
      </c>
      <c r="K61">
        <v>2</v>
      </c>
      <c r="L61" t="s">
        <v>22</v>
      </c>
      <c r="M61">
        <v>5</v>
      </c>
      <c r="N61" t="b">
        <v>0</v>
      </c>
      <c r="O61" t="b">
        <v>1</v>
      </c>
      <c r="P61" t="s">
        <v>1873</v>
      </c>
    </row>
    <row r="62" spans="1:16" x14ac:dyDescent="0.3">
      <c r="A62" t="s">
        <v>1142</v>
      </c>
      <c r="B62" t="s">
        <v>1859</v>
      </c>
      <c r="C62" t="s">
        <v>1860</v>
      </c>
      <c r="D62" t="s">
        <v>1861</v>
      </c>
      <c r="E62" t="s">
        <v>1862</v>
      </c>
      <c r="F62">
        <v>1759</v>
      </c>
      <c r="G62" t="s">
        <v>1863</v>
      </c>
      <c r="H62">
        <v>2023</v>
      </c>
      <c r="I62">
        <v>5</v>
      </c>
      <c r="J62" t="s">
        <v>305</v>
      </c>
      <c r="K62">
        <v>2</v>
      </c>
      <c r="L62" t="s">
        <v>28</v>
      </c>
      <c r="M62">
        <v>0</v>
      </c>
      <c r="N62" t="b">
        <v>1</v>
      </c>
      <c r="O62" t="b">
        <v>0</v>
      </c>
      <c r="P62" t="s">
        <v>1861</v>
      </c>
    </row>
    <row r="63" spans="1:16" x14ac:dyDescent="0.3">
      <c r="A63" t="s">
        <v>1142</v>
      </c>
      <c r="B63" t="s">
        <v>1864</v>
      </c>
      <c r="C63" t="s">
        <v>1865</v>
      </c>
      <c r="D63" t="s">
        <v>1861</v>
      </c>
      <c r="E63" t="s">
        <v>1862</v>
      </c>
      <c r="F63">
        <v>1840</v>
      </c>
      <c r="G63" t="s">
        <v>1863</v>
      </c>
      <c r="H63">
        <v>2023</v>
      </c>
      <c r="I63">
        <v>5</v>
      </c>
      <c r="J63" t="s">
        <v>305</v>
      </c>
      <c r="K63">
        <v>2</v>
      </c>
      <c r="L63" t="s">
        <v>28</v>
      </c>
      <c r="M63">
        <v>0</v>
      </c>
      <c r="N63" t="b">
        <v>1</v>
      </c>
      <c r="O63" t="b">
        <v>0</v>
      </c>
      <c r="P63" t="s">
        <v>1861</v>
      </c>
    </row>
    <row r="64" spans="1:16" x14ac:dyDescent="0.3">
      <c r="A64" t="s">
        <v>1142</v>
      </c>
      <c r="B64" t="s">
        <v>1866</v>
      </c>
      <c r="C64" t="s">
        <v>1867</v>
      </c>
      <c r="D64" t="s">
        <v>1868</v>
      </c>
      <c r="E64" t="s">
        <v>1862</v>
      </c>
      <c r="F64">
        <v>2233</v>
      </c>
      <c r="G64" t="s">
        <v>1863</v>
      </c>
      <c r="H64">
        <v>2023</v>
      </c>
      <c r="I64">
        <v>5</v>
      </c>
      <c r="J64" t="s">
        <v>305</v>
      </c>
      <c r="K64">
        <v>2</v>
      </c>
      <c r="L64" t="s">
        <v>28</v>
      </c>
      <c r="M64">
        <v>0</v>
      </c>
      <c r="N64" t="b">
        <v>1</v>
      </c>
      <c r="O64" t="b">
        <v>0</v>
      </c>
      <c r="P64" t="s">
        <v>1868</v>
      </c>
    </row>
    <row r="65" spans="1:16" x14ac:dyDescent="0.3">
      <c r="A65" t="s">
        <v>1142</v>
      </c>
      <c r="B65" t="s">
        <v>1869</v>
      </c>
      <c r="C65" t="s">
        <v>1870</v>
      </c>
      <c r="D65" t="s">
        <v>1871</v>
      </c>
      <c r="E65" t="s">
        <v>1872</v>
      </c>
      <c r="F65">
        <v>1259</v>
      </c>
      <c r="G65" t="s">
        <v>1863</v>
      </c>
      <c r="H65">
        <v>2023</v>
      </c>
      <c r="I65">
        <v>5</v>
      </c>
      <c r="J65" t="s">
        <v>305</v>
      </c>
      <c r="K65">
        <v>2</v>
      </c>
      <c r="L65" t="s">
        <v>28</v>
      </c>
      <c r="M65">
        <v>0</v>
      </c>
      <c r="N65" t="b">
        <v>0</v>
      </c>
      <c r="O65" t="b">
        <v>1</v>
      </c>
      <c r="P65" t="s">
        <v>1873</v>
      </c>
    </row>
    <row r="66" spans="1:16" x14ac:dyDescent="0.3">
      <c r="A66" t="s">
        <v>1209</v>
      </c>
      <c r="B66" t="s">
        <v>1859</v>
      </c>
      <c r="C66" t="s">
        <v>1860</v>
      </c>
      <c r="D66" t="s">
        <v>1861</v>
      </c>
      <c r="E66" t="s">
        <v>1862</v>
      </c>
      <c r="F66">
        <v>1792</v>
      </c>
      <c r="G66" t="s">
        <v>1863</v>
      </c>
      <c r="H66">
        <v>2023</v>
      </c>
      <c r="I66">
        <v>6</v>
      </c>
      <c r="J66" t="s">
        <v>371</v>
      </c>
      <c r="K66">
        <v>2</v>
      </c>
      <c r="L66" t="s">
        <v>41</v>
      </c>
      <c r="M66">
        <v>3</v>
      </c>
      <c r="N66" t="b">
        <v>1</v>
      </c>
      <c r="O66" t="b">
        <v>0</v>
      </c>
      <c r="P66" t="s">
        <v>1861</v>
      </c>
    </row>
    <row r="67" spans="1:16" x14ac:dyDescent="0.3">
      <c r="A67" t="s">
        <v>1209</v>
      </c>
      <c r="B67" t="s">
        <v>1864</v>
      </c>
      <c r="C67" t="s">
        <v>1865</v>
      </c>
      <c r="D67" t="s">
        <v>1861</v>
      </c>
      <c r="E67" t="s">
        <v>1862</v>
      </c>
      <c r="F67">
        <v>1692</v>
      </c>
      <c r="G67" t="s">
        <v>1863</v>
      </c>
      <c r="H67">
        <v>2023</v>
      </c>
      <c r="I67">
        <v>6</v>
      </c>
      <c r="J67" t="s">
        <v>371</v>
      </c>
      <c r="K67">
        <v>2</v>
      </c>
      <c r="L67" t="s">
        <v>41</v>
      </c>
      <c r="M67">
        <v>3</v>
      </c>
      <c r="N67" t="b">
        <v>1</v>
      </c>
      <c r="O67" t="b">
        <v>0</v>
      </c>
      <c r="P67" t="s">
        <v>1861</v>
      </c>
    </row>
    <row r="68" spans="1:16" x14ac:dyDescent="0.3">
      <c r="A68" t="s">
        <v>1209</v>
      </c>
      <c r="B68" t="s">
        <v>1866</v>
      </c>
      <c r="C68" t="s">
        <v>1867</v>
      </c>
      <c r="D68" t="s">
        <v>1868</v>
      </c>
      <c r="E68" t="s">
        <v>1862</v>
      </c>
      <c r="F68">
        <v>2229</v>
      </c>
      <c r="G68" t="s">
        <v>1863</v>
      </c>
      <c r="H68">
        <v>2023</v>
      </c>
      <c r="I68">
        <v>6</v>
      </c>
      <c r="J68" t="s">
        <v>371</v>
      </c>
      <c r="K68">
        <v>2</v>
      </c>
      <c r="L68" t="s">
        <v>41</v>
      </c>
      <c r="M68">
        <v>3</v>
      </c>
      <c r="N68" t="b">
        <v>1</v>
      </c>
      <c r="O68" t="b">
        <v>0</v>
      </c>
      <c r="P68" t="s">
        <v>1868</v>
      </c>
    </row>
    <row r="69" spans="1:16" x14ac:dyDescent="0.3">
      <c r="A69" t="s">
        <v>1209</v>
      </c>
      <c r="B69" t="s">
        <v>1869</v>
      </c>
      <c r="C69" t="s">
        <v>1870</v>
      </c>
      <c r="D69" t="s">
        <v>1871</v>
      </c>
      <c r="E69" t="s">
        <v>1872</v>
      </c>
      <c r="F69">
        <v>1159</v>
      </c>
      <c r="G69" t="s">
        <v>1863</v>
      </c>
      <c r="H69">
        <v>2023</v>
      </c>
      <c r="I69">
        <v>6</v>
      </c>
      <c r="J69" t="s">
        <v>371</v>
      </c>
      <c r="K69">
        <v>2</v>
      </c>
      <c r="L69" t="s">
        <v>41</v>
      </c>
      <c r="M69">
        <v>3</v>
      </c>
      <c r="N69" t="b">
        <v>0</v>
      </c>
      <c r="O69" t="b">
        <v>1</v>
      </c>
      <c r="P69" t="s">
        <v>1873</v>
      </c>
    </row>
    <row r="70" spans="1:16" x14ac:dyDescent="0.3">
      <c r="A70" t="s">
        <v>1276</v>
      </c>
      <c r="B70" t="s">
        <v>1859</v>
      </c>
      <c r="C70" t="s">
        <v>1860</v>
      </c>
      <c r="D70" t="s">
        <v>1861</v>
      </c>
      <c r="E70" t="s">
        <v>1862</v>
      </c>
      <c r="F70">
        <v>1850</v>
      </c>
      <c r="G70" t="s">
        <v>1863</v>
      </c>
      <c r="H70">
        <v>2023</v>
      </c>
      <c r="I70">
        <v>7</v>
      </c>
      <c r="J70" t="s">
        <v>441</v>
      </c>
      <c r="K70">
        <v>3</v>
      </c>
      <c r="L70" t="s">
        <v>22</v>
      </c>
      <c r="M70">
        <v>5</v>
      </c>
      <c r="N70" t="b">
        <v>1</v>
      </c>
      <c r="O70" t="b">
        <v>0</v>
      </c>
      <c r="P70" t="s">
        <v>1861</v>
      </c>
    </row>
    <row r="71" spans="1:16" x14ac:dyDescent="0.3">
      <c r="A71" t="s">
        <v>1276</v>
      </c>
      <c r="B71" t="s">
        <v>1864</v>
      </c>
      <c r="C71" t="s">
        <v>1865</v>
      </c>
      <c r="D71" t="s">
        <v>1861</v>
      </c>
      <c r="E71" t="s">
        <v>1862</v>
      </c>
      <c r="F71">
        <v>1680</v>
      </c>
      <c r="G71" t="s">
        <v>1863</v>
      </c>
      <c r="H71">
        <v>2023</v>
      </c>
      <c r="I71">
        <v>7</v>
      </c>
      <c r="J71" t="s">
        <v>441</v>
      </c>
      <c r="K71">
        <v>3</v>
      </c>
      <c r="L71" t="s">
        <v>22</v>
      </c>
      <c r="M71">
        <v>5</v>
      </c>
      <c r="N71" t="b">
        <v>1</v>
      </c>
      <c r="O71" t="b">
        <v>0</v>
      </c>
      <c r="P71" t="s">
        <v>1861</v>
      </c>
    </row>
    <row r="72" spans="1:16" x14ac:dyDescent="0.3">
      <c r="A72" t="s">
        <v>1276</v>
      </c>
      <c r="B72" t="s">
        <v>1866</v>
      </c>
      <c r="C72" t="s">
        <v>1867</v>
      </c>
      <c r="D72" t="s">
        <v>1868</v>
      </c>
      <c r="E72" t="s">
        <v>1862</v>
      </c>
      <c r="F72">
        <v>2104</v>
      </c>
      <c r="G72" t="s">
        <v>1863</v>
      </c>
      <c r="H72">
        <v>2023</v>
      </c>
      <c r="I72">
        <v>7</v>
      </c>
      <c r="J72" t="s">
        <v>441</v>
      </c>
      <c r="K72">
        <v>3</v>
      </c>
      <c r="L72" t="s">
        <v>22</v>
      </c>
      <c r="M72">
        <v>5</v>
      </c>
      <c r="N72" t="b">
        <v>1</v>
      </c>
      <c r="O72" t="b">
        <v>0</v>
      </c>
      <c r="P72" t="s">
        <v>1868</v>
      </c>
    </row>
    <row r="73" spans="1:16" x14ac:dyDescent="0.3">
      <c r="A73" t="s">
        <v>1276</v>
      </c>
      <c r="B73" t="s">
        <v>1869</v>
      </c>
      <c r="C73" t="s">
        <v>1870</v>
      </c>
      <c r="D73" t="s">
        <v>1871</v>
      </c>
      <c r="E73" t="s">
        <v>1872</v>
      </c>
      <c r="F73">
        <v>1261</v>
      </c>
      <c r="G73" t="s">
        <v>1863</v>
      </c>
      <c r="H73">
        <v>2023</v>
      </c>
      <c r="I73">
        <v>7</v>
      </c>
      <c r="J73" t="s">
        <v>441</v>
      </c>
      <c r="K73">
        <v>3</v>
      </c>
      <c r="L73" t="s">
        <v>22</v>
      </c>
      <c r="M73">
        <v>5</v>
      </c>
      <c r="N73" t="b">
        <v>0</v>
      </c>
      <c r="O73" t="b">
        <v>1</v>
      </c>
      <c r="P73" t="s">
        <v>1873</v>
      </c>
    </row>
    <row r="74" spans="1:16" x14ac:dyDescent="0.3">
      <c r="A74" t="s">
        <v>1343</v>
      </c>
      <c r="B74" t="s">
        <v>1859</v>
      </c>
      <c r="C74" t="s">
        <v>1860</v>
      </c>
      <c r="D74" t="s">
        <v>1861</v>
      </c>
      <c r="E74" t="s">
        <v>1862</v>
      </c>
      <c r="F74">
        <v>1709</v>
      </c>
      <c r="G74" t="s">
        <v>1863</v>
      </c>
      <c r="H74">
        <v>2023</v>
      </c>
      <c r="I74">
        <v>8</v>
      </c>
      <c r="J74" t="s">
        <v>509</v>
      </c>
      <c r="K74">
        <v>3</v>
      </c>
      <c r="L74" t="s">
        <v>31</v>
      </c>
      <c r="M74">
        <v>1</v>
      </c>
      <c r="N74" t="b">
        <v>1</v>
      </c>
      <c r="O74" t="b">
        <v>0</v>
      </c>
      <c r="P74" t="s">
        <v>1861</v>
      </c>
    </row>
    <row r="75" spans="1:16" x14ac:dyDescent="0.3">
      <c r="A75" t="s">
        <v>1343</v>
      </c>
      <c r="B75" t="s">
        <v>1864</v>
      </c>
      <c r="C75" t="s">
        <v>1865</v>
      </c>
      <c r="D75" t="s">
        <v>1861</v>
      </c>
      <c r="E75" t="s">
        <v>1862</v>
      </c>
      <c r="F75">
        <v>1738</v>
      </c>
      <c r="G75" t="s">
        <v>1863</v>
      </c>
      <c r="H75">
        <v>2023</v>
      </c>
      <c r="I75">
        <v>8</v>
      </c>
      <c r="J75" t="s">
        <v>509</v>
      </c>
      <c r="K75">
        <v>3</v>
      </c>
      <c r="L75" t="s">
        <v>31</v>
      </c>
      <c r="M75">
        <v>1</v>
      </c>
      <c r="N75" t="b">
        <v>1</v>
      </c>
      <c r="O75" t="b">
        <v>0</v>
      </c>
      <c r="P75" t="s">
        <v>1861</v>
      </c>
    </row>
    <row r="76" spans="1:16" x14ac:dyDescent="0.3">
      <c r="A76" t="s">
        <v>1343</v>
      </c>
      <c r="B76" t="s">
        <v>1866</v>
      </c>
      <c r="C76" t="s">
        <v>1867</v>
      </c>
      <c r="D76" t="s">
        <v>1868</v>
      </c>
      <c r="E76" t="s">
        <v>1862</v>
      </c>
      <c r="F76">
        <v>2229</v>
      </c>
      <c r="G76" t="s">
        <v>1863</v>
      </c>
      <c r="H76">
        <v>2023</v>
      </c>
      <c r="I76">
        <v>8</v>
      </c>
      <c r="J76" t="s">
        <v>509</v>
      </c>
      <c r="K76">
        <v>3</v>
      </c>
      <c r="L76" t="s">
        <v>31</v>
      </c>
      <c r="M76">
        <v>1</v>
      </c>
      <c r="N76" t="b">
        <v>1</v>
      </c>
      <c r="O76" t="b">
        <v>0</v>
      </c>
      <c r="P76" t="s">
        <v>1868</v>
      </c>
    </row>
    <row r="77" spans="1:16" x14ac:dyDescent="0.3">
      <c r="A77" t="s">
        <v>1343</v>
      </c>
      <c r="B77" t="s">
        <v>1869</v>
      </c>
      <c r="C77" t="s">
        <v>1870</v>
      </c>
      <c r="D77" t="s">
        <v>1871</v>
      </c>
      <c r="E77" t="s">
        <v>1872</v>
      </c>
      <c r="F77">
        <v>1225</v>
      </c>
      <c r="G77" t="s">
        <v>1863</v>
      </c>
      <c r="H77">
        <v>2023</v>
      </c>
      <c r="I77">
        <v>8</v>
      </c>
      <c r="J77" t="s">
        <v>509</v>
      </c>
      <c r="K77">
        <v>3</v>
      </c>
      <c r="L77" t="s">
        <v>31</v>
      </c>
      <c r="M77">
        <v>1</v>
      </c>
      <c r="N77" t="b">
        <v>0</v>
      </c>
      <c r="O77" t="b">
        <v>1</v>
      </c>
      <c r="P77" t="s">
        <v>1873</v>
      </c>
    </row>
    <row r="78" spans="1:16" x14ac:dyDescent="0.3">
      <c r="A78" t="s">
        <v>1411</v>
      </c>
      <c r="B78" t="s">
        <v>1859</v>
      </c>
      <c r="C78" t="s">
        <v>1860</v>
      </c>
      <c r="D78" t="s">
        <v>1861</v>
      </c>
      <c r="E78" t="s">
        <v>1862</v>
      </c>
      <c r="F78">
        <v>1710</v>
      </c>
      <c r="G78" t="s">
        <v>1863</v>
      </c>
      <c r="H78">
        <v>2023</v>
      </c>
      <c r="I78">
        <v>9</v>
      </c>
      <c r="J78" t="s">
        <v>581</v>
      </c>
      <c r="K78">
        <v>3</v>
      </c>
      <c r="L78" t="s">
        <v>44</v>
      </c>
      <c r="M78">
        <v>4</v>
      </c>
      <c r="N78" t="b">
        <v>1</v>
      </c>
      <c r="O78" t="b">
        <v>0</v>
      </c>
      <c r="P78" t="s">
        <v>1861</v>
      </c>
    </row>
    <row r="79" spans="1:16" x14ac:dyDescent="0.3">
      <c r="A79" t="s">
        <v>1411</v>
      </c>
      <c r="B79" t="s">
        <v>1864</v>
      </c>
      <c r="C79" t="s">
        <v>1865</v>
      </c>
      <c r="D79" t="s">
        <v>1861</v>
      </c>
      <c r="E79" t="s">
        <v>1862</v>
      </c>
      <c r="F79">
        <v>1827</v>
      </c>
      <c r="G79" t="s">
        <v>1863</v>
      </c>
      <c r="H79">
        <v>2023</v>
      </c>
      <c r="I79">
        <v>9</v>
      </c>
      <c r="J79" t="s">
        <v>581</v>
      </c>
      <c r="K79">
        <v>3</v>
      </c>
      <c r="L79" t="s">
        <v>44</v>
      </c>
      <c r="M79">
        <v>4</v>
      </c>
      <c r="N79" t="b">
        <v>1</v>
      </c>
      <c r="O79" t="b">
        <v>0</v>
      </c>
      <c r="P79" t="s">
        <v>1861</v>
      </c>
    </row>
    <row r="80" spans="1:16" x14ac:dyDescent="0.3">
      <c r="A80" t="s">
        <v>1411</v>
      </c>
      <c r="B80" t="s">
        <v>1866</v>
      </c>
      <c r="C80" t="s">
        <v>1867</v>
      </c>
      <c r="D80" t="s">
        <v>1868</v>
      </c>
      <c r="E80" t="s">
        <v>1862</v>
      </c>
      <c r="F80">
        <v>2258</v>
      </c>
      <c r="G80" t="s">
        <v>1863</v>
      </c>
      <c r="H80">
        <v>2023</v>
      </c>
      <c r="I80">
        <v>9</v>
      </c>
      <c r="J80" t="s">
        <v>581</v>
      </c>
      <c r="K80">
        <v>3</v>
      </c>
      <c r="L80" t="s">
        <v>44</v>
      </c>
      <c r="M80">
        <v>4</v>
      </c>
      <c r="N80" t="b">
        <v>1</v>
      </c>
      <c r="O80" t="b">
        <v>0</v>
      </c>
      <c r="P80" t="s">
        <v>1868</v>
      </c>
    </row>
    <row r="81" spans="1:16" x14ac:dyDescent="0.3">
      <c r="A81" t="s">
        <v>1411</v>
      </c>
      <c r="B81" t="s">
        <v>1869</v>
      </c>
      <c r="C81" t="s">
        <v>1870</v>
      </c>
      <c r="D81" t="s">
        <v>1871</v>
      </c>
      <c r="E81" t="s">
        <v>1872</v>
      </c>
      <c r="F81">
        <v>1155</v>
      </c>
      <c r="G81" t="s">
        <v>1863</v>
      </c>
      <c r="H81">
        <v>2023</v>
      </c>
      <c r="I81">
        <v>9</v>
      </c>
      <c r="J81" t="s">
        <v>581</v>
      </c>
      <c r="K81">
        <v>3</v>
      </c>
      <c r="L81" t="s">
        <v>44</v>
      </c>
      <c r="M81">
        <v>4</v>
      </c>
      <c r="N81" t="b">
        <v>0</v>
      </c>
      <c r="O81" t="b">
        <v>1</v>
      </c>
      <c r="P81" t="s">
        <v>1873</v>
      </c>
    </row>
    <row r="82" spans="1:16" x14ac:dyDescent="0.3">
      <c r="A82" t="s">
        <v>1476</v>
      </c>
      <c r="B82" t="s">
        <v>1859</v>
      </c>
      <c r="C82" t="s">
        <v>1860</v>
      </c>
      <c r="D82" t="s">
        <v>1861</v>
      </c>
      <c r="E82" t="s">
        <v>1862</v>
      </c>
      <c r="F82">
        <v>1782</v>
      </c>
      <c r="G82" t="s">
        <v>1863</v>
      </c>
      <c r="H82">
        <v>2023</v>
      </c>
      <c r="I82">
        <v>10</v>
      </c>
      <c r="J82" t="s">
        <v>647</v>
      </c>
      <c r="K82">
        <v>4</v>
      </c>
      <c r="L82" t="s">
        <v>25</v>
      </c>
      <c r="M82">
        <v>6</v>
      </c>
      <c r="N82" t="b">
        <v>1</v>
      </c>
      <c r="O82" t="b">
        <v>0</v>
      </c>
      <c r="P82" t="s">
        <v>1861</v>
      </c>
    </row>
    <row r="83" spans="1:16" x14ac:dyDescent="0.3">
      <c r="A83" t="s">
        <v>1476</v>
      </c>
      <c r="B83" t="s">
        <v>1864</v>
      </c>
      <c r="C83" t="s">
        <v>1865</v>
      </c>
      <c r="D83" t="s">
        <v>1861</v>
      </c>
      <c r="E83" t="s">
        <v>1862</v>
      </c>
      <c r="F83">
        <v>1786</v>
      </c>
      <c r="G83" t="s">
        <v>1863</v>
      </c>
      <c r="H83">
        <v>2023</v>
      </c>
      <c r="I83">
        <v>10</v>
      </c>
      <c r="J83" t="s">
        <v>647</v>
      </c>
      <c r="K83">
        <v>4</v>
      </c>
      <c r="L83" t="s">
        <v>25</v>
      </c>
      <c r="M83">
        <v>6</v>
      </c>
      <c r="N83" t="b">
        <v>1</v>
      </c>
      <c r="O83" t="b">
        <v>0</v>
      </c>
      <c r="P83" t="s">
        <v>1861</v>
      </c>
    </row>
    <row r="84" spans="1:16" x14ac:dyDescent="0.3">
      <c r="A84" t="s">
        <v>1476</v>
      </c>
      <c r="B84" t="s">
        <v>1866</v>
      </c>
      <c r="C84" t="s">
        <v>1867</v>
      </c>
      <c r="D84" t="s">
        <v>1868</v>
      </c>
      <c r="E84" t="s">
        <v>1862</v>
      </c>
      <c r="F84">
        <v>2198</v>
      </c>
      <c r="G84" t="s">
        <v>1863</v>
      </c>
      <c r="H84">
        <v>2023</v>
      </c>
      <c r="I84">
        <v>10</v>
      </c>
      <c r="J84" t="s">
        <v>647</v>
      </c>
      <c r="K84">
        <v>4</v>
      </c>
      <c r="L84" t="s">
        <v>25</v>
      </c>
      <c r="M84">
        <v>6</v>
      </c>
      <c r="N84" t="b">
        <v>1</v>
      </c>
      <c r="O84" t="b">
        <v>0</v>
      </c>
      <c r="P84" t="s">
        <v>1868</v>
      </c>
    </row>
    <row r="85" spans="1:16" x14ac:dyDescent="0.3">
      <c r="A85" t="s">
        <v>1476</v>
      </c>
      <c r="B85" t="s">
        <v>1869</v>
      </c>
      <c r="C85" t="s">
        <v>1870</v>
      </c>
      <c r="D85" t="s">
        <v>1871</v>
      </c>
      <c r="E85" t="s">
        <v>1872</v>
      </c>
      <c r="F85">
        <v>1248</v>
      </c>
      <c r="G85" t="s">
        <v>1863</v>
      </c>
      <c r="H85">
        <v>2023</v>
      </c>
      <c r="I85">
        <v>10</v>
      </c>
      <c r="J85" t="s">
        <v>647</v>
      </c>
      <c r="K85">
        <v>4</v>
      </c>
      <c r="L85" t="s">
        <v>25</v>
      </c>
      <c r="M85">
        <v>6</v>
      </c>
      <c r="N85" t="b">
        <v>0</v>
      </c>
      <c r="O85" t="b">
        <v>1</v>
      </c>
      <c r="P85" t="s">
        <v>1873</v>
      </c>
    </row>
    <row r="86" spans="1:16" x14ac:dyDescent="0.3">
      <c r="A86" t="s">
        <v>1546</v>
      </c>
      <c r="B86" t="s">
        <v>1859</v>
      </c>
      <c r="C86" t="s">
        <v>1860</v>
      </c>
      <c r="D86" t="s">
        <v>1861</v>
      </c>
      <c r="E86" t="s">
        <v>1862</v>
      </c>
      <c r="F86">
        <v>1772</v>
      </c>
      <c r="G86" t="s">
        <v>1863</v>
      </c>
      <c r="H86">
        <v>2023</v>
      </c>
      <c r="I86">
        <v>11</v>
      </c>
      <c r="J86" t="s">
        <v>714</v>
      </c>
      <c r="K86">
        <v>4</v>
      </c>
      <c r="L86" t="s">
        <v>38</v>
      </c>
      <c r="M86">
        <v>2</v>
      </c>
      <c r="N86" t="b">
        <v>1</v>
      </c>
      <c r="O86" t="b">
        <v>0</v>
      </c>
      <c r="P86" t="s">
        <v>1861</v>
      </c>
    </row>
    <row r="87" spans="1:16" x14ac:dyDescent="0.3">
      <c r="A87" t="s">
        <v>1546</v>
      </c>
      <c r="B87" t="s">
        <v>1864</v>
      </c>
      <c r="C87" t="s">
        <v>1865</v>
      </c>
      <c r="D87" t="s">
        <v>1861</v>
      </c>
      <c r="E87" t="s">
        <v>1862</v>
      </c>
      <c r="F87">
        <v>1805</v>
      </c>
      <c r="G87" t="s">
        <v>1863</v>
      </c>
      <c r="H87">
        <v>2023</v>
      </c>
      <c r="I87">
        <v>11</v>
      </c>
      <c r="J87" t="s">
        <v>714</v>
      </c>
      <c r="K87">
        <v>4</v>
      </c>
      <c r="L87" t="s">
        <v>38</v>
      </c>
      <c r="M87">
        <v>2</v>
      </c>
      <c r="N87" t="b">
        <v>1</v>
      </c>
      <c r="O87" t="b">
        <v>0</v>
      </c>
      <c r="P87" t="s">
        <v>1861</v>
      </c>
    </row>
    <row r="88" spans="1:16" x14ac:dyDescent="0.3">
      <c r="A88" t="s">
        <v>1546</v>
      </c>
      <c r="B88" t="s">
        <v>1866</v>
      </c>
      <c r="C88" t="s">
        <v>1867</v>
      </c>
      <c r="D88" t="s">
        <v>1868</v>
      </c>
      <c r="E88" t="s">
        <v>1862</v>
      </c>
      <c r="F88">
        <v>2289</v>
      </c>
      <c r="G88" t="s">
        <v>1863</v>
      </c>
      <c r="H88">
        <v>2023</v>
      </c>
      <c r="I88">
        <v>11</v>
      </c>
      <c r="J88" t="s">
        <v>714</v>
      </c>
      <c r="K88">
        <v>4</v>
      </c>
      <c r="L88" t="s">
        <v>38</v>
      </c>
      <c r="M88">
        <v>2</v>
      </c>
      <c r="N88" t="b">
        <v>1</v>
      </c>
      <c r="O88" t="b">
        <v>0</v>
      </c>
      <c r="P88" t="s">
        <v>1868</v>
      </c>
    </row>
    <row r="89" spans="1:16" x14ac:dyDescent="0.3">
      <c r="A89" t="s">
        <v>1546</v>
      </c>
      <c r="B89" t="s">
        <v>1869</v>
      </c>
      <c r="C89" t="s">
        <v>1870</v>
      </c>
      <c r="D89" t="s">
        <v>1871</v>
      </c>
      <c r="E89" t="s">
        <v>1872</v>
      </c>
      <c r="F89">
        <v>1214</v>
      </c>
      <c r="G89" t="s">
        <v>1863</v>
      </c>
      <c r="H89">
        <v>2023</v>
      </c>
      <c r="I89">
        <v>11</v>
      </c>
      <c r="J89" t="s">
        <v>714</v>
      </c>
      <c r="K89">
        <v>4</v>
      </c>
      <c r="L89" t="s">
        <v>38</v>
      </c>
      <c r="M89">
        <v>2</v>
      </c>
      <c r="N89" t="b">
        <v>0</v>
      </c>
      <c r="O89" t="b">
        <v>1</v>
      </c>
      <c r="P89" t="s">
        <v>1873</v>
      </c>
    </row>
    <row r="90" spans="1:16" x14ac:dyDescent="0.3">
      <c r="A90" t="s">
        <v>1613</v>
      </c>
      <c r="B90" t="s">
        <v>1859</v>
      </c>
      <c r="C90" t="s">
        <v>1860</v>
      </c>
      <c r="D90" t="s">
        <v>1861</v>
      </c>
      <c r="E90" t="s">
        <v>1862</v>
      </c>
      <c r="F90">
        <v>1706</v>
      </c>
      <c r="G90" t="s">
        <v>1863</v>
      </c>
      <c r="H90">
        <v>2023</v>
      </c>
      <c r="I90">
        <v>12</v>
      </c>
      <c r="J90" t="s">
        <v>783</v>
      </c>
      <c r="K90">
        <v>4</v>
      </c>
      <c r="L90" t="s">
        <v>44</v>
      </c>
      <c r="M90">
        <v>4</v>
      </c>
      <c r="N90" t="b">
        <v>1</v>
      </c>
      <c r="O90" t="b">
        <v>0</v>
      </c>
      <c r="P90" t="s">
        <v>1861</v>
      </c>
    </row>
    <row r="91" spans="1:16" x14ac:dyDescent="0.3">
      <c r="A91" t="s">
        <v>1613</v>
      </c>
      <c r="B91" t="s">
        <v>1864</v>
      </c>
      <c r="C91" t="s">
        <v>1865</v>
      </c>
      <c r="D91" t="s">
        <v>1861</v>
      </c>
      <c r="E91" t="s">
        <v>1862</v>
      </c>
      <c r="F91">
        <v>1729</v>
      </c>
      <c r="G91" t="s">
        <v>1863</v>
      </c>
      <c r="H91">
        <v>2023</v>
      </c>
      <c r="I91">
        <v>12</v>
      </c>
      <c r="J91" t="s">
        <v>783</v>
      </c>
      <c r="K91">
        <v>4</v>
      </c>
      <c r="L91" t="s">
        <v>44</v>
      </c>
      <c r="M91">
        <v>4</v>
      </c>
      <c r="N91" t="b">
        <v>1</v>
      </c>
      <c r="O91" t="b">
        <v>0</v>
      </c>
      <c r="P91" t="s">
        <v>1861</v>
      </c>
    </row>
    <row r="92" spans="1:16" x14ac:dyDescent="0.3">
      <c r="A92" t="s">
        <v>1613</v>
      </c>
      <c r="B92" t="s">
        <v>1866</v>
      </c>
      <c r="C92" t="s">
        <v>1867</v>
      </c>
      <c r="D92" t="s">
        <v>1868</v>
      </c>
      <c r="E92" t="s">
        <v>1862</v>
      </c>
      <c r="F92">
        <v>2243</v>
      </c>
      <c r="G92" t="s">
        <v>1863</v>
      </c>
      <c r="H92">
        <v>2023</v>
      </c>
      <c r="I92">
        <v>12</v>
      </c>
      <c r="J92" t="s">
        <v>783</v>
      </c>
      <c r="K92">
        <v>4</v>
      </c>
      <c r="L92" t="s">
        <v>44</v>
      </c>
      <c r="M92">
        <v>4</v>
      </c>
      <c r="N92" t="b">
        <v>1</v>
      </c>
      <c r="O92" t="b">
        <v>0</v>
      </c>
      <c r="P92" t="s">
        <v>1868</v>
      </c>
    </row>
    <row r="93" spans="1:16" x14ac:dyDescent="0.3">
      <c r="A93" t="s">
        <v>1613</v>
      </c>
      <c r="B93" t="s">
        <v>1869</v>
      </c>
      <c r="C93" t="s">
        <v>1870</v>
      </c>
      <c r="D93" t="s">
        <v>1871</v>
      </c>
      <c r="E93" t="s">
        <v>1872</v>
      </c>
      <c r="F93">
        <v>1196</v>
      </c>
      <c r="G93" t="s">
        <v>1863</v>
      </c>
      <c r="H93">
        <v>2023</v>
      </c>
      <c r="I93">
        <v>12</v>
      </c>
      <c r="J93" t="s">
        <v>783</v>
      </c>
      <c r="K93">
        <v>4</v>
      </c>
      <c r="L93" t="s">
        <v>44</v>
      </c>
      <c r="M93">
        <v>4</v>
      </c>
      <c r="N93" t="b">
        <v>0</v>
      </c>
      <c r="O93" t="b">
        <v>1</v>
      </c>
      <c r="P93" t="s">
        <v>1873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4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1705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1706</v>
      </c>
      <c r="O1" t="s">
        <v>1707</v>
      </c>
      <c r="P1" t="s">
        <v>15</v>
      </c>
    </row>
    <row r="2" spans="1:16" x14ac:dyDescent="0.3">
      <c r="A2" t="s">
        <v>16</v>
      </c>
      <c r="B2" t="s">
        <v>1708</v>
      </c>
      <c r="C2" t="s">
        <v>1709</v>
      </c>
      <c r="D2" t="s">
        <v>1710</v>
      </c>
      <c r="E2" t="s">
        <v>35</v>
      </c>
      <c r="F2">
        <v>229</v>
      </c>
      <c r="G2">
        <v>229</v>
      </c>
      <c r="H2">
        <v>2022</v>
      </c>
      <c r="I2">
        <v>1</v>
      </c>
      <c r="J2" t="s">
        <v>21</v>
      </c>
      <c r="K2">
        <v>1</v>
      </c>
      <c r="L2" t="s">
        <v>22</v>
      </c>
      <c r="M2">
        <v>5</v>
      </c>
      <c r="N2" t="b">
        <v>1</v>
      </c>
      <c r="O2" t="b">
        <v>0</v>
      </c>
      <c r="P2">
        <v>-229</v>
      </c>
    </row>
    <row r="3" spans="1:16" x14ac:dyDescent="0.3">
      <c r="A3" t="s">
        <v>47</v>
      </c>
      <c r="B3" t="s">
        <v>1711</v>
      </c>
      <c r="C3" t="s">
        <v>1712</v>
      </c>
      <c r="D3" t="s">
        <v>1713</v>
      </c>
      <c r="E3" t="s">
        <v>35</v>
      </c>
      <c r="F3">
        <v>444</v>
      </c>
      <c r="G3">
        <v>673</v>
      </c>
      <c r="H3">
        <v>2022</v>
      </c>
      <c r="I3">
        <v>1</v>
      </c>
      <c r="J3" t="s">
        <v>21</v>
      </c>
      <c r="K3">
        <v>1</v>
      </c>
      <c r="L3" t="s">
        <v>22</v>
      </c>
      <c r="M3">
        <v>5</v>
      </c>
      <c r="N3" t="b">
        <v>1</v>
      </c>
      <c r="O3" t="b">
        <v>0</v>
      </c>
      <c r="P3">
        <v>-673</v>
      </c>
    </row>
    <row r="4" spans="1:16" x14ac:dyDescent="0.3">
      <c r="A4" t="s">
        <v>51</v>
      </c>
      <c r="B4" t="s">
        <v>1714</v>
      </c>
      <c r="C4" t="s">
        <v>1715</v>
      </c>
      <c r="D4" t="s">
        <v>1716</v>
      </c>
      <c r="E4" t="s">
        <v>20</v>
      </c>
      <c r="F4">
        <v>428</v>
      </c>
      <c r="G4">
        <v>245</v>
      </c>
      <c r="H4">
        <v>2022</v>
      </c>
      <c r="I4">
        <v>1</v>
      </c>
      <c r="J4" t="s">
        <v>21</v>
      </c>
      <c r="K4">
        <v>1</v>
      </c>
      <c r="L4" t="s">
        <v>28</v>
      </c>
      <c r="M4">
        <v>0</v>
      </c>
      <c r="N4" t="b">
        <v>0</v>
      </c>
      <c r="O4" t="b">
        <v>1</v>
      </c>
      <c r="P4">
        <v>-245</v>
      </c>
    </row>
    <row r="5" spans="1:16" x14ac:dyDescent="0.3">
      <c r="A5" t="s">
        <v>65</v>
      </c>
      <c r="B5" t="s">
        <v>1717</v>
      </c>
      <c r="C5" t="s">
        <v>1709</v>
      </c>
      <c r="D5" t="s">
        <v>1718</v>
      </c>
      <c r="E5" t="s">
        <v>35</v>
      </c>
      <c r="F5">
        <v>360</v>
      </c>
      <c r="G5">
        <v>605</v>
      </c>
      <c r="H5">
        <v>2022</v>
      </c>
      <c r="I5">
        <v>1</v>
      </c>
      <c r="J5" t="s">
        <v>21</v>
      </c>
      <c r="K5">
        <v>1</v>
      </c>
      <c r="L5" t="s">
        <v>22</v>
      </c>
      <c r="M5">
        <v>5</v>
      </c>
      <c r="N5" t="b">
        <v>1</v>
      </c>
      <c r="O5" t="b">
        <v>0</v>
      </c>
      <c r="P5">
        <v>-605</v>
      </c>
    </row>
    <row r="6" spans="1:16" x14ac:dyDescent="0.3">
      <c r="A6" t="s">
        <v>80</v>
      </c>
      <c r="B6" t="s">
        <v>1719</v>
      </c>
      <c r="C6" t="s">
        <v>1720</v>
      </c>
      <c r="D6" t="s">
        <v>1718</v>
      </c>
      <c r="E6" t="s">
        <v>35</v>
      </c>
      <c r="F6">
        <v>539</v>
      </c>
      <c r="G6">
        <v>1144</v>
      </c>
      <c r="H6">
        <v>2022</v>
      </c>
      <c r="I6">
        <v>1</v>
      </c>
      <c r="J6" t="s">
        <v>21</v>
      </c>
      <c r="K6">
        <v>1</v>
      </c>
      <c r="L6" t="s">
        <v>22</v>
      </c>
      <c r="M6">
        <v>5</v>
      </c>
      <c r="N6" t="b">
        <v>1</v>
      </c>
      <c r="O6" t="b">
        <v>0</v>
      </c>
      <c r="P6">
        <v>-1144</v>
      </c>
    </row>
    <row r="7" spans="1:16" x14ac:dyDescent="0.3">
      <c r="A7" t="s">
        <v>85</v>
      </c>
      <c r="B7" t="s">
        <v>1721</v>
      </c>
      <c r="C7" t="s">
        <v>1715</v>
      </c>
      <c r="D7" t="s">
        <v>1716</v>
      </c>
      <c r="E7" t="s">
        <v>20</v>
      </c>
      <c r="F7">
        <v>486</v>
      </c>
      <c r="G7">
        <v>658</v>
      </c>
      <c r="H7">
        <v>2022</v>
      </c>
      <c r="I7">
        <v>1</v>
      </c>
      <c r="J7" t="s">
        <v>21</v>
      </c>
      <c r="K7">
        <v>1</v>
      </c>
      <c r="L7" t="s">
        <v>28</v>
      </c>
      <c r="M7">
        <v>0</v>
      </c>
      <c r="N7" t="b">
        <v>0</v>
      </c>
      <c r="O7" t="b">
        <v>1</v>
      </c>
      <c r="P7">
        <v>-658</v>
      </c>
    </row>
    <row r="8" spans="1:16" x14ac:dyDescent="0.3">
      <c r="A8" t="s">
        <v>98</v>
      </c>
      <c r="B8" t="s">
        <v>1722</v>
      </c>
      <c r="C8" t="s">
        <v>1723</v>
      </c>
      <c r="D8" t="s">
        <v>1724</v>
      </c>
      <c r="E8" t="s">
        <v>35</v>
      </c>
      <c r="F8">
        <v>494</v>
      </c>
      <c r="G8">
        <v>1152</v>
      </c>
      <c r="H8">
        <v>2022</v>
      </c>
      <c r="I8">
        <v>1</v>
      </c>
      <c r="J8" t="s">
        <v>21</v>
      </c>
      <c r="K8">
        <v>1</v>
      </c>
      <c r="L8" t="s">
        <v>22</v>
      </c>
      <c r="M8">
        <v>5</v>
      </c>
      <c r="N8" t="b">
        <v>1</v>
      </c>
      <c r="O8" t="b">
        <v>0</v>
      </c>
      <c r="P8">
        <v>-1152</v>
      </c>
    </row>
    <row r="9" spans="1:16" x14ac:dyDescent="0.3">
      <c r="A9" t="s">
        <v>114</v>
      </c>
      <c r="B9" t="s">
        <v>1725</v>
      </c>
      <c r="C9" t="s">
        <v>1723</v>
      </c>
      <c r="D9" t="s">
        <v>1718</v>
      </c>
      <c r="E9" t="s">
        <v>35</v>
      </c>
      <c r="F9">
        <v>179</v>
      </c>
      <c r="G9">
        <v>1331</v>
      </c>
      <c r="H9">
        <v>2022</v>
      </c>
      <c r="I9">
        <v>2</v>
      </c>
      <c r="J9" t="s">
        <v>107</v>
      </c>
      <c r="K9">
        <v>1</v>
      </c>
      <c r="L9" t="s">
        <v>22</v>
      </c>
      <c r="M9">
        <v>5</v>
      </c>
      <c r="N9" t="b">
        <v>1</v>
      </c>
      <c r="O9" t="b">
        <v>0</v>
      </c>
      <c r="P9">
        <v>-1331</v>
      </c>
    </row>
    <row r="10" spans="1:16" x14ac:dyDescent="0.3">
      <c r="A10" t="s">
        <v>130</v>
      </c>
      <c r="B10" t="s">
        <v>1726</v>
      </c>
      <c r="C10" t="s">
        <v>1712</v>
      </c>
      <c r="D10" t="s">
        <v>1718</v>
      </c>
      <c r="E10" t="s">
        <v>35</v>
      </c>
      <c r="F10">
        <v>449</v>
      </c>
      <c r="G10">
        <v>1780</v>
      </c>
      <c r="H10">
        <v>2022</v>
      </c>
      <c r="I10">
        <v>2</v>
      </c>
      <c r="J10" t="s">
        <v>107</v>
      </c>
      <c r="K10">
        <v>1</v>
      </c>
      <c r="L10" t="s">
        <v>22</v>
      </c>
      <c r="M10">
        <v>5</v>
      </c>
      <c r="N10" t="b">
        <v>1</v>
      </c>
      <c r="O10" t="b">
        <v>0</v>
      </c>
      <c r="P10">
        <v>-1780</v>
      </c>
    </row>
    <row r="11" spans="1:16" x14ac:dyDescent="0.3">
      <c r="A11" t="s">
        <v>146</v>
      </c>
      <c r="B11" t="s">
        <v>1727</v>
      </c>
      <c r="C11" t="s">
        <v>1709</v>
      </c>
      <c r="D11" t="s">
        <v>1713</v>
      </c>
      <c r="E11" t="s">
        <v>35</v>
      </c>
      <c r="F11">
        <v>363</v>
      </c>
      <c r="G11">
        <v>2143</v>
      </c>
      <c r="H11">
        <v>2022</v>
      </c>
      <c r="I11">
        <v>2</v>
      </c>
      <c r="J11" t="s">
        <v>107</v>
      </c>
      <c r="K11">
        <v>1</v>
      </c>
      <c r="L11" t="s">
        <v>22</v>
      </c>
      <c r="M11">
        <v>5</v>
      </c>
      <c r="N11" t="b">
        <v>1</v>
      </c>
      <c r="O11" t="b">
        <v>0</v>
      </c>
      <c r="P11">
        <v>-2143</v>
      </c>
    </row>
    <row r="12" spans="1:16" x14ac:dyDescent="0.3">
      <c r="A12" t="s">
        <v>162</v>
      </c>
      <c r="B12" t="s">
        <v>1728</v>
      </c>
      <c r="C12" t="s">
        <v>1723</v>
      </c>
      <c r="D12" t="s">
        <v>1713</v>
      </c>
      <c r="E12" t="s">
        <v>35</v>
      </c>
      <c r="F12">
        <v>163</v>
      </c>
      <c r="G12">
        <v>2306</v>
      </c>
      <c r="H12">
        <v>2022</v>
      </c>
      <c r="I12">
        <v>2</v>
      </c>
      <c r="J12" t="s">
        <v>107</v>
      </c>
      <c r="K12">
        <v>1</v>
      </c>
      <c r="L12" t="s">
        <v>22</v>
      </c>
      <c r="M12">
        <v>5</v>
      </c>
      <c r="N12" t="b">
        <v>1</v>
      </c>
      <c r="O12" t="b">
        <v>0</v>
      </c>
      <c r="P12">
        <v>-2306</v>
      </c>
    </row>
    <row r="13" spans="1:16" x14ac:dyDescent="0.3">
      <c r="A13" t="s">
        <v>177</v>
      </c>
      <c r="B13" t="s">
        <v>1729</v>
      </c>
      <c r="C13" t="s">
        <v>1712</v>
      </c>
      <c r="D13" t="s">
        <v>1724</v>
      </c>
      <c r="E13" t="s">
        <v>35</v>
      </c>
      <c r="F13">
        <v>206</v>
      </c>
      <c r="G13">
        <v>2512</v>
      </c>
      <c r="H13">
        <v>2022</v>
      </c>
      <c r="I13">
        <v>3</v>
      </c>
      <c r="J13" t="s">
        <v>170</v>
      </c>
      <c r="K13">
        <v>1</v>
      </c>
      <c r="L13" t="s">
        <v>22</v>
      </c>
      <c r="M13">
        <v>5</v>
      </c>
      <c r="N13" t="b">
        <v>1</v>
      </c>
      <c r="O13" t="b">
        <v>0</v>
      </c>
      <c r="P13">
        <v>-2512</v>
      </c>
    </row>
    <row r="14" spans="1:16" x14ac:dyDescent="0.3">
      <c r="A14" t="s">
        <v>193</v>
      </c>
      <c r="B14" t="s">
        <v>1730</v>
      </c>
      <c r="C14" t="s">
        <v>1712</v>
      </c>
      <c r="D14" t="s">
        <v>1718</v>
      </c>
      <c r="E14" t="s">
        <v>35</v>
      </c>
      <c r="F14">
        <v>264</v>
      </c>
      <c r="G14">
        <v>2776</v>
      </c>
      <c r="H14">
        <v>2022</v>
      </c>
      <c r="I14">
        <v>3</v>
      </c>
      <c r="J14" t="s">
        <v>170</v>
      </c>
      <c r="K14">
        <v>1</v>
      </c>
      <c r="L14" t="s">
        <v>22</v>
      </c>
      <c r="M14">
        <v>5</v>
      </c>
      <c r="N14" t="b">
        <v>1</v>
      </c>
      <c r="O14" t="b">
        <v>0</v>
      </c>
      <c r="P14">
        <v>-2776</v>
      </c>
    </row>
    <row r="15" spans="1:16" x14ac:dyDescent="0.3">
      <c r="A15" t="s">
        <v>208</v>
      </c>
      <c r="B15" t="s">
        <v>1731</v>
      </c>
      <c r="C15" t="s">
        <v>1720</v>
      </c>
      <c r="D15" t="s">
        <v>1724</v>
      </c>
      <c r="E15" t="s">
        <v>35</v>
      </c>
      <c r="F15">
        <v>411</v>
      </c>
      <c r="G15">
        <v>3187</v>
      </c>
      <c r="H15">
        <v>2022</v>
      </c>
      <c r="I15">
        <v>3</v>
      </c>
      <c r="J15" t="s">
        <v>170</v>
      </c>
      <c r="K15">
        <v>1</v>
      </c>
      <c r="L15" t="s">
        <v>22</v>
      </c>
      <c r="M15">
        <v>5</v>
      </c>
      <c r="N15" t="b">
        <v>1</v>
      </c>
      <c r="O15" t="b">
        <v>0</v>
      </c>
      <c r="P15">
        <v>-3187</v>
      </c>
    </row>
    <row r="16" spans="1:16" x14ac:dyDescent="0.3">
      <c r="A16" t="s">
        <v>224</v>
      </c>
      <c r="B16" t="s">
        <v>1732</v>
      </c>
      <c r="C16" t="s">
        <v>1709</v>
      </c>
      <c r="D16" t="s">
        <v>1718</v>
      </c>
      <c r="E16" t="s">
        <v>35</v>
      </c>
      <c r="F16">
        <v>207</v>
      </c>
      <c r="G16">
        <v>3394</v>
      </c>
      <c r="H16">
        <v>2022</v>
      </c>
      <c r="I16">
        <v>3</v>
      </c>
      <c r="J16" t="s">
        <v>170</v>
      </c>
      <c r="K16">
        <v>1</v>
      </c>
      <c r="L16" t="s">
        <v>22</v>
      </c>
      <c r="M16">
        <v>5</v>
      </c>
      <c r="N16" t="b">
        <v>1</v>
      </c>
      <c r="O16" t="b">
        <v>0</v>
      </c>
      <c r="P16">
        <v>-3394</v>
      </c>
    </row>
    <row r="17" spans="1:16" x14ac:dyDescent="0.3">
      <c r="A17" t="s">
        <v>228</v>
      </c>
      <c r="B17" t="s">
        <v>1733</v>
      </c>
      <c r="C17" t="s">
        <v>1715</v>
      </c>
      <c r="D17" t="s">
        <v>1716</v>
      </c>
      <c r="E17" t="s">
        <v>20</v>
      </c>
      <c r="F17">
        <v>533</v>
      </c>
      <c r="G17">
        <v>2861</v>
      </c>
      <c r="H17">
        <v>2022</v>
      </c>
      <c r="I17">
        <v>3</v>
      </c>
      <c r="J17" t="s">
        <v>170</v>
      </c>
      <c r="K17">
        <v>1</v>
      </c>
      <c r="L17" t="s">
        <v>28</v>
      </c>
      <c r="M17">
        <v>0</v>
      </c>
      <c r="N17" t="b">
        <v>0</v>
      </c>
      <c r="O17" t="b">
        <v>1</v>
      </c>
      <c r="P17">
        <v>-2861</v>
      </c>
    </row>
    <row r="18" spans="1:16" x14ac:dyDescent="0.3">
      <c r="A18" t="s">
        <v>239</v>
      </c>
      <c r="B18" t="s">
        <v>1734</v>
      </c>
      <c r="C18" t="s">
        <v>1712</v>
      </c>
      <c r="D18" t="s">
        <v>1724</v>
      </c>
      <c r="E18" t="s">
        <v>35</v>
      </c>
      <c r="F18">
        <v>229</v>
      </c>
      <c r="G18">
        <v>3090</v>
      </c>
      <c r="H18">
        <v>2022</v>
      </c>
      <c r="I18">
        <v>4</v>
      </c>
      <c r="J18" t="s">
        <v>238</v>
      </c>
      <c r="K18">
        <v>2</v>
      </c>
      <c r="L18" t="s">
        <v>22</v>
      </c>
      <c r="M18">
        <v>5</v>
      </c>
      <c r="N18" t="b">
        <v>1</v>
      </c>
      <c r="O18" t="b">
        <v>0</v>
      </c>
      <c r="P18">
        <v>-3090</v>
      </c>
    </row>
    <row r="19" spans="1:16" x14ac:dyDescent="0.3">
      <c r="A19" t="s">
        <v>243</v>
      </c>
      <c r="B19" t="s">
        <v>1735</v>
      </c>
      <c r="C19" t="s">
        <v>1715</v>
      </c>
      <c r="D19" t="s">
        <v>1716</v>
      </c>
      <c r="E19" t="s">
        <v>20</v>
      </c>
      <c r="F19">
        <v>481</v>
      </c>
      <c r="G19">
        <v>2609</v>
      </c>
      <c r="H19">
        <v>2022</v>
      </c>
      <c r="I19">
        <v>4</v>
      </c>
      <c r="J19" t="s">
        <v>238</v>
      </c>
      <c r="K19">
        <v>2</v>
      </c>
      <c r="L19" t="s">
        <v>28</v>
      </c>
      <c r="M19">
        <v>0</v>
      </c>
      <c r="N19" t="b">
        <v>0</v>
      </c>
      <c r="O19" t="b">
        <v>1</v>
      </c>
      <c r="P19">
        <v>-2609</v>
      </c>
    </row>
    <row r="20" spans="1:16" x14ac:dyDescent="0.3">
      <c r="A20" t="s">
        <v>255</v>
      </c>
      <c r="B20" t="s">
        <v>1736</v>
      </c>
      <c r="C20" t="s">
        <v>1712</v>
      </c>
      <c r="D20" t="s">
        <v>1724</v>
      </c>
      <c r="E20" t="s">
        <v>35</v>
      </c>
      <c r="F20">
        <v>384</v>
      </c>
      <c r="G20">
        <v>2993</v>
      </c>
      <c r="H20">
        <v>2022</v>
      </c>
      <c r="I20">
        <v>4</v>
      </c>
      <c r="J20" t="s">
        <v>238</v>
      </c>
      <c r="K20">
        <v>2</v>
      </c>
      <c r="L20" t="s">
        <v>22</v>
      </c>
      <c r="M20">
        <v>5</v>
      </c>
      <c r="N20" t="b">
        <v>1</v>
      </c>
      <c r="O20" t="b">
        <v>0</v>
      </c>
      <c r="P20">
        <v>-2993</v>
      </c>
    </row>
    <row r="21" spans="1:16" x14ac:dyDescent="0.3">
      <c r="A21" t="s">
        <v>260</v>
      </c>
      <c r="B21" t="s">
        <v>1737</v>
      </c>
      <c r="C21" t="s">
        <v>1715</v>
      </c>
      <c r="D21" t="s">
        <v>1716</v>
      </c>
      <c r="E21" t="s">
        <v>20</v>
      </c>
      <c r="F21">
        <v>684</v>
      </c>
      <c r="G21">
        <v>2309</v>
      </c>
      <c r="H21">
        <v>2022</v>
      </c>
      <c r="I21">
        <v>4</v>
      </c>
      <c r="J21" t="s">
        <v>238</v>
      </c>
      <c r="K21">
        <v>2</v>
      </c>
      <c r="L21" t="s">
        <v>28</v>
      </c>
      <c r="M21">
        <v>0</v>
      </c>
      <c r="N21" t="b">
        <v>0</v>
      </c>
      <c r="O21" t="b">
        <v>1</v>
      </c>
      <c r="P21">
        <v>-2309</v>
      </c>
    </row>
    <row r="22" spans="1:16" x14ac:dyDescent="0.3">
      <c r="A22" t="s">
        <v>270</v>
      </c>
      <c r="B22" t="s">
        <v>1738</v>
      </c>
      <c r="C22" t="s">
        <v>1709</v>
      </c>
      <c r="D22" t="s">
        <v>1718</v>
      </c>
      <c r="E22" t="s">
        <v>35</v>
      </c>
      <c r="F22">
        <v>344</v>
      </c>
      <c r="G22">
        <v>2653</v>
      </c>
      <c r="H22">
        <v>2022</v>
      </c>
      <c r="I22">
        <v>4</v>
      </c>
      <c r="J22" t="s">
        <v>238</v>
      </c>
      <c r="K22">
        <v>2</v>
      </c>
      <c r="L22" t="s">
        <v>22</v>
      </c>
      <c r="M22">
        <v>5</v>
      </c>
      <c r="N22" t="b">
        <v>1</v>
      </c>
      <c r="O22" t="b">
        <v>0</v>
      </c>
      <c r="P22">
        <v>-2653</v>
      </c>
    </row>
    <row r="23" spans="1:16" x14ac:dyDescent="0.3">
      <c r="A23" t="s">
        <v>276</v>
      </c>
      <c r="B23" t="s">
        <v>1739</v>
      </c>
      <c r="C23" t="s">
        <v>1715</v>
      </c>
      <c r="D23" t="s">
        <v>1716</v>
      </c>
      <c r="E23" t="s">
        <v>20</v>
      </c>
      <c r="F23">
        <v>405</v>
      </c>
      <c r="G23">
        <v>2248</v>
      </c>
      <c r="H23">
        <v>2022</v>
      </c>
      <c r="I23">
        <v>4</v>
      </c>
      <c r="J23" t="s">
        <v>238</v>
      </c>
      <c r="K23">
        <v>2</v>
      </c>
      <c r="L23" t="s">
        <v>28</v>
      </c>
      <c r="M23">
        <v>0</v>
      </c>
      <c r="N23" t="b">
        <v>0</v>
      </c>
      <c r="O23" t="b">
        <v>1</v>
      </c>
      <c r="P23">
        <v>-2248</v>
      </c>
    </row>
    <row r="24" spans="1:16" x14ac:dyDescent="0.3">
      <c r="A24" t="s">
        <v>287</v>
      </c>
      <c r="B24" t="s">
        <v>1740</v>
      </c>
      <c r="C24" t="s">
        <v>1723</v>
      </c>
      <c r="D24" t="s">
        <v>1713</v>
      </c>
      <c r="E24" t="s">
        <v>35</v>
      </c>
      <c r="F24">
        <v>111</v>
      </c>
      <c r="G24">
        <v>2359</v>
      </c>
      <c r="H24">
        <v>2022</v>
      </c>
      <c r="I24">
        <v>4</v>
      </c>
      <c r="J24" t="s">
        <v>238</v>
      </c>
      <c r="K24">
        <v>2</v>
      </c>
      <c r="L24" t="s">
        <v>22</v>
      </c>
      <c r="M24">
        <v>5</v>
      </c>
      <c r="N24" t="b">
        <v>1</v>
      </c>
      <c r="O24" t="b">
        <v>0</v>
      </c>
      <c r="P24">
        <v>-2359</v>
      </c>
    </row>
    <row r="25" spans="1:16" x14ac:dyDescent="0.3">
      <c r="A25" t="s">
        <v>301</v>
      </c>
      <c r="B25" t="s">
        <v>1741</v>
      </c>
      <c r="C25" t="s">
        <v>1709</v>
      </c>
      <c r="D25" t="s">
        <v>1724</v>
      </c>
      <c r="E25" t="s">
        <v>35</v>
      </c>
      <c r="F25">
        <v>315</v>
      </c>
      <c r="G25">
        <v>2674</v>
      </c>
      <c r="H25">
        <v>2022</v>
      </c>
      <c r="I25">
        <v>4</v>
      </c>
      <c r="J25" t="s">
        <v>238</v>
      </c>
      <c r="K25">
        <v>2</v>
      </c>
      <c r="L25" t="s">
        <v>22</v>
      </c>
      <c r="M25">
        <v>5</v>
      </c>
      <c r="N25" t="b">
        <v>1</v>
      </c>
      <c r="O25" t="b">
        <v>0</v>
      </c>
      <c r="P25">
        <v>-2674</v>
      </c>
    </row>
    <row r="26" spans="1:16" x14ac:dyDescent="0.3">
      <c r="A26" t="s">
        <v>306</v>
      </c>
      <c r="B26" t="s">
        <v>1742</v>
      </c>
      <c r="C26" t="s">
        <v>1715</v>
      </c>
      <c r="D26" t="s">
        <v>1716</v>
      </c>
      <c r="E26" t="s">
        <v>20</v>
      </c>
      <c r="F26">
        <v>416</v>
      </c>
      <c r="G26">
        <v>2258</v>
      </c>
      <c r="H26">
        <v>2022</v>
      </c>
      <c r="I26">
        <v>5</v>
      </c>
      <c r="J26" t="s">
        <v>305</v>
      </c>
      <c r="K26">
        <v>2</v>
      </c>
      <c r="L26" t="s">
        <v>28</v>
      </c>
      <c r="M26">
        <v>0</v>
      </c>
      <c r="N26" t="b">
        <v>0</v>
      </c>
      <c r="O26" t="b">
        <v>1</v>
      </c>
      <c r="P26">
        <v>-2258</v>
      </c>
    </row>
    <row r="27" spans="1:16" x14ac:dyDescent="0.3">
      <c r="A27" t="s">
        <v>317</v>
      </c>
      <c r="B27" t="s">
        <v>1743</v>
      </c>
      <c r="C27" t="s">
        <v>1712</v>
      </c>
      <c r="D27" t="s">
        <v>1718</v>
      </c>
      <c r="E27" t="s">
        <v>35</v>
      </c>
      <c r="F27">
        <v>405</v>
      </c>
      <c r="G27">
        <v>2663</v>
      </c>
      <c r="H27">
        <v>2022</v>
      </c>
      <c r="I27">
        <v>5</v>
      </c>
      <c r="J27" t="s">
        <v>305</v>
      </c>
      <c r="K27">
        <v>2</v>
      </c>
      <c r="L27" t="s">
        <v>22</v>
      </c>
      <c r="M27">
        <v>5</v>
      </c>
      <c r="N27" t="b">
        <v>1</v>
      </c>
      <c r="O27" t="b">
        <v>0</v>
      </c>
      <c r="P27">
        <v>-2663</v>
      </c>
    </row>
    <row r="28" spans="1:16" x14ac:dyDescent="0.3">
      <c r="A28" t="s">
        <v>331</v>
      </c>
      <c r="B28" t="s">
        <v>1744</v>
      </c>
      <c r="C28" t="s">
        <v>1709</v>
      </c>
      <c r="D28" t="s">
        <v>1724</v>
      </c>
      <c r="E28" t="s">
        <v>35</v>
      </c>
      <c r="F28">
        <v>283</v>
      </c>
      <c r="G28">
        <v>2946</v>
      </c>
      <c r="H28">
        <v>2022</v>
      </c>
      <c r="I28">
        <v>5</v>
      </c>
      <c r="J28" t="s">
        <v>305</v>
      </c>
      <c r="K28">
        <v>2</v>
      </c>
      <c r="L28" t="s">
        <v>22</v>
      </c>
      <c r="M28">
        <v>5</v>
      </c>
      <c r="N28" t="b">
        <v>1</v>
      </c>
      <c r="O28" t="b">
        <v>0</v>
      </c>
      <c r="P28">
        <v>-2946</v>
      </c>
    </row>
    <row r="29" spans="1:16" x14ac:dyDescent="0.3">
      <c r="A29" t="s">
        <v>345</v>
      </c>
      <c r="B29" t="s">
        <v>1745</v>
      </c>
      <c r="C29" t="s">
        <v>1723</v>
      </c>
      <c r="D29" t="s">
        <v>1713</v>
      </c>
      <c r="E29" t="s">
        <v>35</v>
      </c>
      <c r="F29">
        <v>527</v>
      </c>
      <c r="G29">
        <v>3473</v>
      </c>
      <c r="H29">
        <v>2022</v>
      </c>
      <c r="I29">
        <v>5</v>
      </c>
      <c r="J29" t="s">
        <v>305</v>
      </c>
      <c r="K29">
        <v>2</v>
      </c>
      <c r="L29" t="s">
        <v>22</v>
      </c>
      <c r="M29">
        <v>5</v>
      </c>
      <c r="N29" t="b">
        <v>1</v>
      </c>
      <c r="O29" t="b">
        <v>0</v>
      </c>
      <c r="P29">
        <v>-3473</v>
      </c>
    </row>
    <row r="30" spans="1:16" x14ac:dyDescent="0.3">
      <c r="A30" t="s">
        <v>349</v>
      </c>
      <c r="B30" t="s">
        <v>1746</v>
      </c>
      <c r="C30" t="s">
        <v>1715</v>
      </c>
      <c r="D30" t="s">
        <v>1716</v>
      </c>
      <c r="E30" t="s">
        <v>20</v>
      </c>
      <c r="F30">
        <v>507</v>
      </c>
      <c r="G30">
        <v>2966</v>
      </c>
      <c r="H30">
        <v>2022</v>
      </c>
      <c r="I30">
        <v>5</v>
      </c>
      <c r="J30" t="s">
        <v>305</v>
      </c>
      <c r="K30">
        <v>2</v>
      </c>
      <c r="L30" t="s">
        <v>28</v>
      </c>
      <c r="M30">
        <v>0</v>
      </c>
      <c r="N30" t="b">
        <v>0</v>
      </c>
      <c r="O30" t="b">
        <v>1</v>
      </c>
      <c r="P30">
        <v>-2966</v>
      </c>
    </row>
    <row r="31" spans="1:16" x14ac:dyDescent="0.3">
      <c r="A31" t="s">
        <v>361</v>
      </c>
      <c r="B31" t="s">
        <v>1747</v>
      </c>
      <c r="C31" t="s">
        <v>1723</v>
      </c>
      <c r="D31" t="s">
        <v>1710</v>
      </c>
      <c r="E31" t="s">
        <v>35</v>
      </c>
      <c r="F31">
        <v>435</v>
      </c>
      <c r="G31">
        <v>3401</v>
      </c>
      <c r="H31">
        <v>2022</v>
      </c>
      <c r="I31">
        <v>5</v>
      </c>
      <c r="J31" t="s">
        <v>305</v>
      </c>
      <c r="K31">
        <v>2</v>
      </c>
      <c r="L31" t="s">
        <v>22</v>
      </c>
      <c r="M31">
        <v>5</v>
      </c>
      <c r="N31" t="b">
        <v>1</v>
      </c>
      <c r="O31" t="b">
        <v>0</v>
      </c>
      <c r="P31">
        <v>-3401</v>
      </c>
    </row>
    <row r="32" spans="1:16" x14ac:dyDescent="0.3">
      <c r="A32" t="s">
        <v>377</v>
      </c>
      <c r="B32" t="s">
        <v>1748</v>
      </c>
      <c r="C32" t="s">
        <v>1723</v>
      </c>
      <c r="D32" t="s">
        <v>1718</v>
      </c>
      <c r="E32" t="s">
        <v>35</v>
      </c>
      <c r="F32">
        <v>107</v>
      </c>
      <c r="G32">
        <v>3508</v>
      </c>
      <c r="H32">
        <v>2022</v>
      </c>
      <c r="I32">
        <v>6</v>
      </c>
      <c r="J32" t="s">
        <v>371</v>
      </c>
      <c r="K32">
        <v>2</v>
      </c>
      <c r="L32" t="s">
        <v>22</v>
      </c>
      <c r="M32">
        <v>5</v>
      </c>
      <c r="N32" t="b">
        <v>1</v>
      </c>
      <c r="O32" t="b">
        <v>0</v>
      </c>
      <c r="P32">
        <v>-3508</v>
      </c>
    </row>
    <row r="33" spans="1:16" x14ac:dyDescent="0.3">
      <c r="A33" t="s">
        <v>381</v>
      </c>
      <c r="B33" t="s">
        <v>1749</v>
      </c>
      <c r="C33" t="s">
        <v>1715</v>
      </c>
      <c r="D33" t="s">
        <v>1716</v>
      </c>
      <c r="E33" t="s">
        <v>20</v>
      </c>
      <c r="F33">
        <v>551</v>
      </c>
      <c r="G33">
        <v>2957</v>
      </c>
      <c r="H33">
        <v>2022</v>
      </c>
      <c r="I33">
        <v>6</v>
      </c>
      <c r="J33" t="s">
        <v>371</v>
      </c>
      <c r="K33">
        <v>2</v>
      </c>
      <c r="L33" t="s">
        <v>28</v>
      </c>
      <c r="M33">
        <v>0</v>
      </c>
      <c r="N33" t="b">
        <v>0</v>
      </c>
      <c r="O33" t="b">
        <v>1</v>
      </c>
      <c r="P33">
        <v>-2957</v>
      </c>
    </row>
    <row r="34" spans="1:16" x14ac:dyDescent="0.3">
      <c r="A34" t="s">
        <v>391</v>
      </c>
      <c r="B34" t="s">
        <v>1750</v>
      </c>
      <c r="C34" t="s">
        <v>1712</v>
      </c>
      <c r="D34" t="s">
        <v>1724</v>
      </c>
      <c r="E34" t="s">
        <v>35</v>
      </c>
      <c r="F34">
        <v>457</v>
      </c>
      <c r="G34">
        <v>3414</v>
      </c>
      <c r="H34">
        <v>2022</v>
      </c>
      <c r="I34">
        <v>6</v>
      </c>
      <c r="J34" t="s">
        <v>371</v>
      </c>
      <c r="K34">
        <v>2</v>
      </c>
      <c r="L34" t="s">
        <v>22</v>
      </c>
      <c r="M34">
        <v>5</v>
      </c>
      <c r="N34" t="b">
        <v>1</v>
      </c>
      <c r="O34" t="b">
        <v>0</v>
      </c>
      <c r="P34">
        <v>-3414</v>
      </c>
    </row>
    <row r="35" spans="1:16" x14ac:dyDescent="0.3">
      <c r="A35" t="s">
        <v>396</v>
      </c>
      <c r="B35" t="s">
        <v>1751</v>
      </c>
      <c r="C35" t="s">
        <v>1715</v>
      </c>
      <c r="D35" t="s">
        <v>1716</v>
      </c>
      <c r="E35" t="s">
        <v>20</v>
      </c>
      <c r="F35">
        <v>392</v>
      </c>
      <c r="G35">
        <v>3022</v>
      </c>
      <c r="H35">
        <v>2022</v>
      </c>
      <c r="I35">
        <v>6</v>
      </c>
      <c r="J35" t="s">
        <v>371</v>
      </c>
      <c r="K35">
        <v>2</v>
      </c>
      <c r="L35" t="s">
        <v>28</v>
      </c>
      <c r="M35">
        <v>0</v>
      </c>
      <c r="N35" t="b">
        <v>0</v>
      </c>
      <c r="O35" t="b">
        <v>1</v>
      </c>
      <c r="P35">
        <v>-3022</v>
      </c>
    </row>
    <row r="36" spans="1:16" x14ac:dyDescent="0.3">
      <c r="A36" t="s">
        <v>407</v>
      </c>
      <c r="B36" t="s">
        <v>1752</v>
      </c>
      <c r="C36" t="s">
        <v>1709</v>
      </c>
      <c r="D36" t="s">
        <v>1710</v>
      </c>
      <c r="E36" t="s">
        <v>35</v>
      </c>
      <c r="F36">
        <v>410</v>
      </c>
      <c r="G36">
        <v>3432</v>
      </c>
      <c r="H36">
        <v>2022</v>
      </c>
      <c r="I36">
        <v>6</v>
      </c>
      <c r="J36" t="s">
        <v>371</v>
      </c>
      <c r="K36">
        <v>2</v>
      </c>
      <c r="L36" t="s">
        <v>22</v>
      </c>
      <c r="M36">
        <v>5</v>
      </c>
      <c r="N36" t="b">
        <v>1</v>
      </c>
      <c r="O36" t="b">
        <v>0</v>
      </c>
      <c r="P36">
        <v>-3432</v>
      </c>
    </row>
    <row r="37" spans="1:16" x14ac:dyDescent="0.3">
      <c r="A37" t="s">
        <v>424</v>
      </c>
      <c r="B37" t="s">
        <v>1753</v>
      </c>
      <c r="C37" t="s">
        <v>1723</v>
      </c>
      <c r="D37" t="s">
        <v>1710</v>
      </c>
      <c r="E37" t="s">
        <v>35</v>
      </c>
      <c r="F37">
        <v>513</v>
      </c>
      <c r="G37">
        <v>3945</v>
      </c>
      <c r="H37">
        <v>2022</v>
      </c>
      <c r="I37">
        <v>6</v>
      </c>
      <c r="J37" t="s">
        <v>371</v>
      </c>
      <c r="K37">
        <v>2</v>
      </c>
      <c r="L37" t="s">
        <v>22</v>
      </c>
      <c r="M37">
        <v>5</v>
      </c>
      <c r="N37" t="b">
        <v>1</v>
      </c>
      <c r="O37" t="b">
        <v>0</v>
      </c>
      <c r="P37">
        <v>-3945</v>
      </c>
    </row>
    <row r="38" spans="1:16" x14ac:dyDescent="0.3">
      <c r="A38" t="s">
        <v>442</v>
      </c>
      <c r="B38" t="s">
        <v>1754</v>
      </c>
      <c r="C38" t="s">
        <v>1709</v>
      </c>
      <c r="D38" t="s">
        <v>1713</v>
      </c>
      <c r="E38" t="s">
        <v>35</v>
      </c>
      <c r="F38">
        <v>235</v>
      </c>
      <c r="G38">
        <v>4180</v>
      </c>
      <c r="H38">
        <v>2022</v>
      </c>
      <c r="I38">
        <v>7</v>
      </c>
      <c r="J38" t="s">
        <v>441</v>
      </c>
      <c r="K38">
        <v>3</v>
      </c>
      <c r="L38" t="s">
        <v>22</v>
      </c>
      <c r="M38">
        <v>5</v>
      </c>
      <c r="N38" t="b">
        <v>1</v>
      </c>
      <c r="O38" t="b">
        <v>0</v>
      </c>
      <c r="P38">
        <v>-4180</v>
      </c>
    </row>
    <row r="39" spans="1:16" x14ac:dyDescent="0.3">
      <c r="A39" t="s">
        <v>457</v>
      </c>
      <c r="B39" t="s">
        <v>1755</v>
      </c>
      <c r="C39" t="s">
        <v>1720</v>
      </c>
      <c r="D39" t="s">
        <v>1718</v>
      </c>
      <c r="E39" t="s">
        <v>35</v>
      </c>
      <c r="F39">
        <v>574</v>
      </c>
      <c r="G39">
        <v>4754</v>
      </c>
      <c r="H39">
        <v>2022</v>
      </c>
      <c r="I39">
        <v>7</v>
      </c>
      <c r="J39" t="s">
        <v>441</v>
      </c>
      <c r="K39">
        <v>3</v>
      </c>
      <c r="L39" t="s">
        <v>22</v>
      </c>
      <c r="M39">
        <v>5</v>
      </c>
      <c r="N39" t="b">
        <v>1</v>
      </c>
      <c r="O39" t="b">
        <v>0</v>
      </c>
      <c r="P39">
        <v>-4754</v>
      </c>
    </row>
    <row r="40" spans="1:16" x14ac:dyDescent="0.3">
      <c r="A40" t="s">
        <v>472</v>
      </c>
      <c r="B40" t="s">
        <v>1756</v>
      </c>
      <c r="C40" t="s">
        <v>1712</v>
      </c>
      <c r="D40" t="s">
        <v>1724</v>
      </c>
      <c r="E40" t="s">
        <v>35</v>
      </c>
      <c r="F40">
        <v>388</v>
      </c>
      <c r="G40">
        <v>5142</v>
      </c>
      <c r="H40">
        <v>2022</v>
      </c>
      <c r="I40">
        <v>7</v>
      </c>
      <c r="J40" t="s">
        <v>441</v>
      </c>
      <c r="K40">
        <v>3</v>
      </c>
      <c r="L40" t="s">
        <v>22</v>
      </c>
      <c r="M40">
        <v>5</v>
      </c>
      <c r="N40" t="b">
        <v>1</v>
      </c>
      <c r="O40" t="b">
        <v>0</v>
      </c>
      <c r="P40">
        <v>-5142</v>
      </c>
    </row>
    <row r="41" spans="1:16" x14ac:dyDescent="0.3">
      <c r="A41" t="s">
        <v>488</v>
      </c>
      <c r="B41" t="s">
        <v>1757</v>
      </c>
      <c r="C41" t="s">
        <v>1712</v>
      </c>
      <c r="D41" t="s">
        <v>1713</v>
      </c>
      <c r="E41" t="s">
        <v>35</v>
      </c>
      <c r="F41">
        <v>241</v>
      </c>
      <c r="G41">
        <v>5383</v>
      </c>
      <c r="H41">
        <v>2022</v>
      </c>
      <c r="I41">
        <v>7</v>
      </c>
      <c r="J41" t="s">
        <v>441</v>
      </c>
      <c r="K41">
        <v>3</v>
      </c>
      <c r="L41" t="s">
        <v>22</v>
      </c>
      <c r="M41">
        <v>5</v>
      </c>
      <c r="N41" t="b">
        <v>1</v>
      </c>
      <c r="O41" t="b">
        <v>0</v>
      </c>
      <c r="P41">
        <v>-5383</v>
      </c>
    </row>
    <row r="42" spans="1:16" x14ac:dyDescent="0.3">
      <c r="A42" t="s">
        <v>502</v>
      </c>
      <c r="B42" t="s">
        <v>1758</v>
      </c>
      <c r="C42" t="s">
        <v>1723</v>
      </c>
      <c r="D42" t="s">
        <v>1713</v>
      </c>
      <c r="E42" t="s">
        <v>35</v>
      </c>
      <c r="F42">
        <v>189</v>
      </c>
      <c r="G42">
        <v>5572</v>
      </c>
      <c r="H42">
        <v>2022</v>
      </c>
      <c r="I42">
        <v>7</v>
      </c>
      <c r="J42" t="s">
        <v>441</v>
      </c>
      <c r="K42">
        <v>3</v>
      </c>
      <c r="L42" t="s">
        <v>22</v>
      </c>
      <c r="M42">
        <v>5</v>
      </c>
      <c r="N42" t="b">
        <v>1</v>
      </c>
      <c r="O42" t="b">
        <v>0</v>
      </c>
      <c r="P42">
        <v>-5572</v>
      </c>
    </row>
    <row r="43" spans="1:16" x14ac:dyDescent="0.3">
      <c r="A43" t="s">
        <v>507</v>
      </c>
      <c r="B43" t="s">
        <v>1759</v>
      </c>
      <c r="C43" t="s">
        <v>1715</v>
      </c>
      <c r="D43" t="s">
        <v>1716</v>
      </c>
      <c r="E43" t="s">
        <v>20</v>
      </c>
      <c r="F43">
        <v>774</v>
      </c>
      <c r="G43">
        <v>4798</v>
      </c>
      <c r="H43">
        <v>2022</v>
      </c>
      <c r="I43">
        <v>8</v>
      </c>
      <c r="J43" t="s">
        <v>509</v>
      </c>
      <c r="K43">
        <v>3</v>
      </c>
      <c r="L43" t="s">
        <v>28</v>
      </c>
      <c r="M43">
        <v>0</v>
      </c>
      <c r="N43" t="b">
        <v>0</v>
      </c>
      <c r="O43" t="b">
        <v>1</v>
      </c>
      <c r="P43">
        <v>-4798</v>
      </c>
    </row>
    <row r="44" spans="1:16" x14ac:dyDescent="0.3">
      <c r="A44" t="s">
        <v>519</v>
      </c>
      <c r="B44" t="s">
        <v>1760</v>
      </c>
      <c r="C44" t="s">
        <v>1712</v>
      </c>
      <c r="D44" t="s">
        <v>1718</v>
      </c>
      <c r="E44" t="s">
        <v>35</v>
      </c>
      <c r="F44">
        <v>172</v>
      </c>
      <c r="G44">
        <v>4970</v>
      </c>
      <c r="H44">
        <v>2022</v>
      </c>
      <c r="I44">
        <v>8</v>
      </c>
      <c r="J44" t="s">
        <v>509</v>
      </c>
      <c r="K44">
        <v>3</v>
      </c>
      <c r="L44" t="s">
        <v>22</v>
      </c>
      <c r="M44">
        <v>5</v>
      </c>
      <c r="N44" t="b">
        <v>1</v>
      </c>
      <c r="O44" t="b">
        <v>0</v>
      </c>
      <c r="P44">
        <v>-4970</v>
      </c>
    </row>
    <row r="45" spans="1:16" x14ac:dyDescent="0.3">
      <c r="A45" t="s">
        <v>535</v>
      </c>
      <c r="B45" t="s">
        <v>1761</v>
      </c>
      <c r="C45" t="s">
        <v>1712</v>
      </c>
      <c r="D45" t="s">
        <v>1718</v>
      </c>
      <c r="E45" t="s">
        <v>35</v>
      </c>
      <c r="F45">
        <v>368</v>
      </c>
      <c r="G45">
        <v>5338</v>
      </c>
      <c r="H45">
        <v>2022</v>
      </c>
      <c r="I45">
        <v>8</v>
      </c>
      <c r="J45" t="s">
        <v>509</v>
      </c>
      <c r="K45">
        <v>3</v>
      </c>
      <c r="L45" t="s">
        <v>22</v>
      </c>
      <c r="M45">
        <v>5</v>
      </c>
      <c r="N45" t="b">
        <v>1</v>
      </c>
      <c r="O45" t="b">
        <v>0</v>
      </c>
      <c r="P45">
        <v>-5338</v>
      </c>
    </row>
    <row r="46" spans="1:16" x14ac:dyDescent="0.3">
      <c r="A46" t="s">
        <v>551</v>
      </c>
      <c r="B46" t="s">
        <v>1762</v>
      </c>
      <c r="C46" t="s">
        <v>1709</v>
      </c>
      <c r="D46" t="s">
        <v>1713</v>
      </c>
      <c r="E46" t="s">
        <v>35</v>
      </c>
      <c r="F46">
        <v>588</v>
      </c>
      <c r="G46">
        <v>5926</v>
      </c>
      <c r="H46">
        <v>2022</v>
      </c>
      <c r="I46">
        <v>8</v>
      </c>
      <c r="J46" t="s">
        <v>509</v>
      </c>
      <c r="K46">
        <v>3</v>
      </c>
      <c r="L46" t="s">
        <v>22</v>
      </c>
      <c r="M46">
        <v>5</v>
      </c>
      <c r="N46" t="b">
        <v>1</v>
      </c>
      <c r="O46" t="b">
        <v>0</v>
      </c>
      <c r="P46">
        <v>-5926</v>
      </c>
    </row>
    <row r="47" spans="1:16" x14ac:dyDescent="0.3">
      <c r="A47" t="s">
        <v>566</v>
      </c>
      <c r="B47" t="s">
        <v>1763</v>
      </c>
      <c r="C47" t="s">
        <v>1723</v>
      </c>
      <c r="D47" t="s">
        <v>1713</v>
      </c>
      <c r="E47" t="s">
        <v>35</v>
      </c>
      <c r="F47">
        <v>201</v>
      </c>
      <c r="G47">
        <v>6127</v>
      </c>
      <c r="H47">
        <v>2022</v>
      </c>
      <c r="I47">
        <v>8</v>
      </c>
      <c r="J47" t="s">
        <v>509</v>
      </c>
      <c r="K47">
        <v>3</v>
      </c>
      <c r="L47" t="s">
        <v>22</v>
      </c>
      <c r="M47">
        <v>5</v>
      </c>
      <c r="N47" t="b">
        <v>1</v>
      </c>
      <c r="O47" t="b">
        <v>0</v>
      </c>
      <c r="P47">
        <v>-6127</v>
      </c>
    </row>
    <row r="48" spans="1:16" x14ac:dyDescent="0.3">
      <c r="A48" t="s">
        <v>584</v>
      </c>
      <c r="B48" t="s">
        <v>1764</v>
      </c>
      <c r="C48" t="s">
        <v>1723</v>
      </c>
      <c r="D48" t="s">
        <v>1710</v>
      </c>
      <c r="E48" t="s">
        <v>35</v>
      </c>
      <c r="F48">
        <v>553</v>
      </c>
      <c r="G48">
        <v>6680</v>
      </c>
      <c r="H48">
        <v>2022</v>
      </c>
      <c r="I48">
        <v>9</v>
      </c>
      <c r="J48" t="s">
        <v>581</v>
      </c>
      <c r="K48">
        <v>3</v>
      </c>
      <c r="L48" t="s">
        <v>22</v>
      </c>
      <c r="M48">
        <v>5</v>
      </c>
      <c r="N48" t="b">
        <v>1</v>
      </c>
      <c r="O48" t="b">
        <v>0</v>
      </c>
      <c r="P48">
        <v>-6680</v>
      </c>
    </row>
    <row r="49" spans="1:16" x14ac:dyDescent="0.3">
      <c r="A49" t="s">
        <v>599</v>
      </c>
      <c r="B49" t="s">
        <v>1765</v>
      </c>
      <c r="C49" t="s">
        <v>1709</v>
      </c>
      <c r="D49" t="s">
        <v>1718</v>
      </c>
      <c r="E49" t="s">
        <v>35</v>
      </c>
      <c r="F49">
        <v>378</v>
      </c>
      <c r="G49">
        <v>7058</v>
      </c>
      <c r="H49">
        <v>2022</v>
      </c>
      <c r="I49">
        <v>9</v>
      </c>
      <c r="J49" t="s">
        <v>581</v>
      </c>
      <c r="K49">
        <v>3</v>
      </c>
      <c r="L49" t="s">
        <v>22</v>
      </c>
      <c r="M49">
        <v>5</v>
      </c>
      <c r="N49" t="b">
        <v>1</v>
      </c>
      <c r="O49" t="b">
        <v>0</v>
      </c>
      <c r="P49">
        <v>-7058</v>
      </c>
    </row>
    <row r="50" spans="1:16" x14ac:dyDescent="0.3">
      <c r="A50" t="s">
        <v>614</v>
      </c>
      <c r="B50" t="s">
        <v>1766</v>
      </c>
      <c r="C50" t="s">
        <v>1723</v>
      </c>
      <c r="D50" t="s">
        <v>1710</v>
      </c>
      <c r="E50" t="s">
        <v>35</v>
      </c>
      <c r="F50">
        <v>443</v>
      </c>
      <c r="G50">
        <v>7501</v>
      </c>
      <c r="H50">
        <v>2022</v>
      </c>
      <c r="I50">
        <v>9</v>
      </c>
      <c r="J50" t="s">
        <v>581</v>
      </c>
      <c r="K50">
        <v>3</v>
      </c>
      <c r="L50" t="s">
        <v>22</v>
      </c>
      <c r="M50">
        <v>5</v>
      </c>
      <c r="N50" t="b">
        <v>1</v>
      </c>
      <c r="O50" t="b">
        <v>0</v>
      </c>
      <c r="P50">
        <v>-7501</v>
      </c>
    </row>
    <row r="51" spans="1:16" x14ac:dyDescent="0.3">
      <c r="A51" t="s">
        <v>630</v>
      </c>
      <c r="B51" t="s">
        <v>1767</v>
      </c>
      <c r="C51" t="s">
        <v>1709</v>
      </c>
      <c r="D51" t="s">
        <v>1718</v>
      </c>
      <c r="E51" t="s">
        <v>35</v>
      </c>
      <c r="F51">
        <v>312</v>
      </c>
      <c r="G51">
        <v>7813</v>
      </c>
      <c r="H51">
        <v>2022</v>
      </c>
      <c r="I51">
        <v>9</v>
      </c>
      <c r="J51" t="s">
        <v>581</v>
      </c>
      <c r="K51">
        <v>3</v>
      </c>
      <c r="L51" t="s">
        <v>22</v>
      </c>
      <c r="M51">
        <v>5</v>
      </c>
      <c r="N51" t="b">
        <v>1</v>
      </c>
      <c r="O51" t="b">
        <v>0</v>
      </c>
      <c r="P51">
        <v>-7813</v>
      </c>
    </row>
    <row r="52" spans="1:16" x14ac:dyDescent="0.3">
      <c r="A52" t="s">
        <v>645</v>
      </c>
      <c r="B52" t="s">
        <v>1768</v>
      </c>
      <c r="C52" t="s">
        <v>1709</v>
      </c>
      <c r="D52" t="s">
        <v>1718</v>
      </c>
      <c r="E52" t="s">
        <v>35</v>
      </c>
      <c r="F52">
        <v>298</v>
      </c>
      <c r="G52">
        <v>8111</v>
      </c>
      <c r="H52">
        <v>2022</v>
      </c>
      <c r="I52">
        <v>10</v>
      </c>
      <c r="J52" t="s">
        <v>647</v>
      </c>
      <c r="K52">
        <v>4</v>
      </c>
      <c r="L52" t="s">
        <v>22</v>
      </c>
      <c r="M52">
        <v>5</v>
      </c>
      <c r="N52" t="b">
        <v>1</v>
      </c>
      <c r="O52" t="b">
        <v>0</v>
      </c>
      <c r="P52">
        <v>-8111</v>
      </c>
    </row>
    <row r="53" spans="1:16" x14ac:dyDescent="0.3">
      <c r="A53" t="s">
        <v>661</v>
      </c>
      <c r="B53" t="s">
        <v>1769</v>
      </c>
      <c r="C53" t="s">
        <v>1712</v>
      </c>
      <c r="D53" t="s">
        <v>1718</v>
      </c>
      <c r="E53" t="s">
        <v>35</v>
      </c>
      <c r="F53">
        <v>192</v>
      </c>
      <c r="G53">
        <v>8303</v>
      </c>
      <c r="H53">
        <v>2022</v>
      </c>
      <c r="I53">
        <v>10</v>
      </c>
      <c r="J53" t="s">
        <v>647</v>
      </c>
      <c r="K53">
        <v>4</v>
      </c>
      <c r="L53" t="s">
        <v>22</v>
      </c>
      <c r="M53">
        <v>5</v>
      </c>
      <c r="N53" t="b">
        <v>1</v>
      </c>
      <c r="O53" t="b">
        <v>0</v>
      </c>
      <c r="P53">
        <v>-8303</v>
      </c>
    </row>
    <row r="54" spans="1:16" x14ac:dyDescent="0.3">
      <c r="A54" t="s">
        <v>667</v>
      </c>
      <c r="B54" t="s">
        <v>1770</v>
      </c>
      <c r="C54" t="s">
        <v>1715</v>
      </c>
      <c r="D54" t="s">
        <v>1716</v>
      </c>
      <c r="E54" t="s">
        <v>20</v>
      </c>
      <c r="F54">
        <v>696</v>
      </c>
      <c r="G54">
        <v>7607</v>
      </c>
      <c r="H54">
        <v>2022</v>
      </c>
      <c r="I54">
        <v>10</v>
      </c>
      <c r="J54" t="s">
        <v>647</v>
      </c>
      <c r="K54">
        <v>4</v>
      </c>
      <c r="L54" t="s">
        <v>28</v>
      </c>
      <c r="M54">
        <v>0</v>
      </c>
      <c r="N54" t="b">
        <v>0</v>
      </c>
      <c r="O54" t="b">
        <v>1</v>
      </c>
      <c r="P54">
        <v>-7607</v>
      </c>
    </row>
    <row r="55" spans="1:16" x14ac:dyDescent="0.3">
      <c r="A55" t="s">
        <v>677</v>
      </c>
      <c r="B55" t="s">
        <v>1771</v>
      </c>
      <c r="C55" t="s">
        <v>1720</v>
      </c>
      <c r="D55" t="s">
        <v>1710</v>
      </c>
      <c r="E55" t="s">
        <v>35</v>
      </c>
      <c r="F55">
        <v>390</v>
      </c>
      <c r="G55">
        <v>7997</v>
      </c>
      <c r="H55">
        <v>2022</v>
      </c>
      <c r="I55">
        <v>10</v>
      </c>
      <c r="J55" t="s">
        <v>647</v>
      </c>
      <c r="K55">
        <v>4</v>
      </c>
      <c r="L55" t="s">
        <v>22</v>
      </c>
      <c r="M55">
        <v>5</v>
      </c>
      <c r="N55" t="b">
        <v>1</v>
      </c>
      <c r="O55" t="b">
        <v>0</v>
      </c>
      <c r="P55">
        <v>-7997</v>
      </c>
    </row>
    <row r="56" spans="1:16" x14ac:dyDescent="0.3">
      <c r="A56" t="s">
        <v>681</v>
      </c>
      <c r="B56" t="s">
        <v>1772</v>
      </c>
      <c r="C56" t="s">
        <v>1715</v>
      </c>
      <c r="D56" t="s">
        <v>1716</v>
      </c>
      <c r="E56" t="s">
        <v>20</v>
      </c>
      <c r="F56">
        <v>202</v>
      </c>
      <c r="G56">
        <v>7795</v>
      </c>
      <c r="H56">
        <v>2022</v>
      </c>
      <c r="I56">
        <v>10</v>
      </c>
      <c r="J56" t="s">
        <v>647</v>
      </c>
      <c r="K56">
        <v>4</v>
      </c>
      <c r="L56" t="s">
        <v>28</v>
      </c>
      <c r="M56">
        <v>0</v>
      </c>
      <c r="N56" t="b">
        <v>0</v>
      </c>
      <c r="O56" t="b">
        <v>1</v>
      </c>
      <c r="P56">
        <v>-7795</v>
      </c>
    </row>
    <row r="57" spans="1:16" x14ac:dyDescent="0.3">
      <c r="A57" t="s">
        <v>691</v>
      </c>
      <c r="B57" t="s">
        <v>1773</v>
      </c>
      <c r="C57" t="s">
        <v>1723</v>
      </c>
      <c r="D57" t="s">
        <v>1713</v>
      </c>
      <c r="E57" t="s">
        <v>35</v>
      </c>
      <c r="F57">
        <v>184</v>
      </c>
      <c r="G57">
        <v>7979</v>
      </c>
      <c r="H57">
        <v>2022</v>
      </c>
      <c r="I57">
        <v>10</v>
      </c>
      <c r="J57" t="s">
        <v>647</v>
      </c>
      <c r="K57">
        <v>4</v>
      </c>
      <c r="L57" t="s">
        <v>22</v>
      </c>
      <c r="M57">
        <v>5</v>
      </c>
      <c r="N57" t="b">
        <v>1</v>
      </c>
      <c r="O57" t="b">
        <v>0</v>
      </c>
      <c r="P57">
        <v>-7979</v>
      </c>
    </row>
    <row r="58" spans="1:16" x14ac:dyDescent="0.3">
      <c r="A58" t="s">
        <v>706</v>
      </c>
      <c r="B58" t="s">
        <v>1774</v>
      </c>
      <c r="C58" t="s">
        <v>1720</v>
      </c>
      <c r="D58" t="s">
        <v>1718</v>
      </c>
      <c r="E58" t="s">
        <v>35</v>
      </c>
      <c r="F58">
        <v>553</v>
      </c>
      <c r="G58">
        <v>8532</v>
      </c>
      <c r="H58">
        <v>2022</v>
      </c>
      <c r="I58">
        <v>10</v>
      </c>
      <c r="J58" t="s">
        <v>647</v>
      </c>
      <c r="K58">
        <v>4</v>
      </c>
      <c r="L58" t="s">
        <v>22</v>
      </c>
      <c r="M58">
        <v>5</v>
      </c>
      <c r="N58" t="b">
        <v>1</v>
      </c>
      <c r="O58" t="b">
        <v>0</v>
      </c>
      <c r="P58">
        <v>-8532</v>
      </c>
    </row>
    <row r="59" spans="1:16" x14ac:dyDescent="0.3">
      <c r="A59" t="s">
        <v>721</v>
      </c>
      <c r="B59" t="s">
        <v>1775</v>
      </c>
      <c r="C59" t="s">
        <v>1720</v>
      </c>
      <c r="D59" t="s">
        <v>1718</v>
      </c>
      <c r="E59" t="s">
        <v>35</v>
      </c>
      <c r="F59">
        <v>252</v>
      </c>
      <c r="G59">
        <v>8784</v>
      </c>
      <c r="H59">
        <v>2022</v>
      </c>
      <c r="I59">
        <v>11</v>
      </c>
      <c r="J59" t="s">
        <v>714</v>
      </c>
      <c r="K59">
        <v>4</v>
      </c>
      <c r="L59" t="s">
        <v>22</v>
      </c>
      <c r="M59">
        <v>5</v>
      </c>
      <c r="N59" t="b">
        <v>1</v>
      </c>
      <c r="O59" t="b">
        <v>0</v>
      </c>
      <c r="P59">
        <v>-8784</v>
      </c>
    </row>
    <row r="60" spans="1:16" x14ac:dyDescent="0.3">
      <c r="A60" t="s">
        <v>736</v>
      </c>
      <c r="B60" t="s">
        <v>1776</v>
      </c>
      <c r="C60" t="s">
        <v>1709</v>
      </c>
      <c r="D60" t="s">
        <v>1713</v>
      </c>
      <c r="E60" t="s">
        <v>35</v>
      </c>
      <c r="F60">
        <v>392</v>
      </c>
      <c r="G60">
        <v>9176</v>
      </c>
      <c r="H60">
        <v>2022</v>
      </c>
      <c r="I60">
        <v>11</v>
      </c>
      <c r="J60" t="s">
        <v>714</v>
      </c>
      <c r="K60">
        <v>4</v>
      </c>
      <c r="L60" t="s">
        <v>22</v>
      </c>
      <c r="M60">
        <v>5</v>
      </c>
      <c r="N60" t="b">
        <v>1</v>
      </c>
      <c r="O60" t="b">
        <v>0</v>
      </c>
      <c r="P60">
        <v>-9176</v>
      </c>
    </row>
    <row r="61" spans="1:16" x14ac:dyDescent="0.3">
      <c r="A61" t="s">
        <v>752</v>
      </c>
      <c r="B61" t="s">
        <v>1777</v>
      </c>
      <c r="C61" t="s">
        <v>1720</v>
      </c>
      <c r="D61" t="s">
        <v>1724</v>
      </c>
      <c r="E61" t="s">
        <v>35</v>
      </c>
      <c r="F61">
        <v>142</v>
      </c>
      <c r="G61">
        <v>9318</v>
      </c>
      <c r="H61">
        <v>2022</v>
      </c>
      <c r="I61">
        <v>11</v>
      </c>
      <c r="J61" t="s">
        <v>714</v>
      </c>
      <c r="K61">
        <v>4</v>
      </c>
      <c r="L61" t="s">
        <v>22</v>
      </c>
      <c r="M61">
        <v>5</v>
      </c>
      <c r="N61" t="b">
        <v>1</v>
      </c>
      <c r="O61" t="b">
        <v>0</v>
      </c>
      <c r="P61">
        <v>-9318</v>
      </c>
    </row>
    <row r="62" spans="1:16" x14ac:dyDescent="0.3">
      <c r="A62" t="s">
        <v>768</v>
      </c>
      <c r="B62" t="s">
        <v>1778</v>
      </c>
      <c r="C62" t="s">
        <v>1720</v>
      </c>
      <c r="D62" t="s">
        <v>1724</v>
      </c>
      <c r="E62" t="s">
        <v>35</v>
      </c>
      <c r="F62">
        <v>597</v>
      </c>
      <c r="G62">
        <v>9915</v>
      </c>
      <c r="H62">
        <v>2022</v>
      </c>
      <c r="I62">
        <v>11</v>
      </c>
      <c r="J62" t="s">
        <v>714</v>
      </c>
      <c r="K62">
        <v>4</v>
      </c>
      <c r="L62" t="s">
        <v>22</v>
      </c>
      <c r="M62">
        <v>5</v>
      </c>
      <c r="N62" t="b">
        <v>1</v>
      </c>
      <c r="O62" t="b">
        <v>0</v>
      </c>
      <c r="P62">
        <v>-9915</v>
      </c>
    </row>
    <row r="63" spans="1:16" x14ac:dyDescent="0.3">
      <c r="A63" t="s">
        <v>786</v>
      </c>
      <c r="B63" t="s">
        <v>1779</v>
      </c>
      <c r="C63" t="s">
        <v>1709</v>
      </c>
      <c r="D63" t="s">
        <v>1724</v>
      </c>
      <c r="E63" t="s">
        <v>35</v>
      </c>
      <c r="F63">
        <v>120</v>
      </c>
      <c r="G63">
        <v>10035</v>
      </c>
      <c r="H63">
        <v>2022</v>
      </c>
      <c r="I63">
        <v>12</v>
      </c>
      <c r="J63" t="s">
        <v>783</v>
      </c>
      <c r="K63">
        <v>4</v>
      </c>
      <c r="L63" t="s">
        <v>22</v>
      </c>
      <c r="M63">
        <v>5</v>
      </c>
      <c r="N63" t="b">
        <v>1</v>
      </c>
      <c r="O63" t="b">
        <v>0</v>
      </c>
      <c r="P63">
        <v>-10035</v>
      </c>
    </row>
    <row r="64" spans="1:16" x14ac:dyDescent="0.3">
      <c r="A64" t="s">
        <v>790</v>
      </c>
      <c r="B64" t="s">
        <v>1780</v>
      </c>
      <c r="C64" t="s">
        <v>1715</v>
      </c>
      <c r="D64" t="s">
        <v>1716</v>
      </c>
      <c r="E64" t="s">
        <v>20</v>
      </c>
      <c r="F64">
        <v>316</v>
      </c>
      <c r="G64">
        <v>9719</v>
      </c>
      <c r="H64">
        <v>2022</v>
      </c>
      <c r="I64">
        <v>12</v>
      </c>
      <c r="J64" t="s">
        <v>783</v>
      </c>
      <c r="K64">
        <v>4</v>
      </c>
      <c r="L64" t="s">
        <v>28</v>
      </c>
      <c r="M64">
        <v>0</v>
      </c>
      <c r="N64" t="b">
        <v>0</v>
      </c>
      <c r="O64" t="b">
        <v>1</v>
      </c>
      <c r="P64">
        <v>-9719</v>
      </c>
    </row>
    <row r="65" spans="1:16" x14ac:dyDescent="0.3">
      <c r="A65" t="s">
        <v>801</v>
      </c>
      <c r="B65" t="s">
        <v>1781</v>
      </c>
      <c r="C65" t="s">
        <v>1709</v>
      </c>
      <c r="D65" t="s">
        <v>1718</v>
      </c>
      <c r="E65" t="s">
        <v>35</v>
      </c>
      <c r="F65">
        <v>223</v>
      </c>
      <c r="G65">
        <v>9942</v>
      </c>
      <c r="H65">
        <v>2022</v>
      </c>
      <c r="I65">
        <v>12</v>
      </c>
      <c r="J65" t="s">
        <v>783</v>
      </c>
      <c r="K65">
        <v>4</v>
      </c>
      <c r="L65" t="s">
        <v>22</v>
      </c>
      <c r="M65">
        <v>5</v>
      </c>
      <c r="N65" t="b">
        <v>1</v>
      </c>
      <c r="O65" t="b">
        <v>0</v>
      </c>
      <c r="P65">
        <v>-9942</v>
      </c>
    </row>
    <row r="66" spans="1:16" x14ac:dyDescent="0.3">
      <c r="A66" t="s">
        <v>818</v>
      </c>
      <c r="B66" t="s">
        <v>1782</v>
      </c>
      <c r="C66" t="s">
        <v>1709</v>
      </c>
      <c r="D66" t="s">
        <v>1713</v>
      </c>
      <c r="E66" t="s">
        <v>35</v>
      </c>
      <c r="F66">
        <v>150</v>
      </c>
      <c r="G66">
        <v>10092</v>
      </c>
      <c r="H66">
        <v>2022</v>
      </c>
      <c r="I66">
        <v>12</v>
      </c>
      <c r="J66" t="s">
        <v>783</v>
      </c>
      <c r="K66">
        <v>4</v>
      </c>
      <c r="L66" t="s">
        <v>22</v>
      </c>
      <c r="M66">
        <v>5</v>
      </c>
      <c r="N66" t="b">
        <v>1</v>
      </c>
      <c r="O66" t="b">
        <v>0</v>
      </c>
      <c r="P66">
        <v>-10092</v>
      </c>
    </row>
    <row r="67" spans="1:16" x14ac:dyDescent="0.3">
      <c r="A67" t="s">
        <v>832</v>
      </c>
      <c r="B67" t="s">
        <v>1783</v>
      </c>
      <c r="C67" t="s">
        <v>1709</v>
      </c>
      <c r="D67" t="s">
        <v>1710</v>
      </c>
      <c r="E67" t="s">
        <v>35</v>
      </c>
      <c r="F67">
        <v>569</v>
      </c>
      <c r="G67">
        <v>10661</v>
      </c>
      <c r="H67">
        <v>2022</v>
      </c>
      <c r="I67">
        <v>12</v>
      </c>
      <c r="J67" t="s">
        <v>783</v>
      </c>
      <c r="K67">
        <v>4</v>
      </c>
      <c r="L67" t="s">
        <v>22</v>
      </c>
      <c r="M67">
        <v>5</v>
      </c>
      <c r="N67" t="b">
        <v>1</v>
      </c>
      <c r="O67" t="b">
        <v>0</v>
      </c>
      <c r="P67">
        <v>-10661</v>
      </c>
    </row>
    <row r="68" spans="1:16" x14ac:dyDescent="0.3">
      <c r="A68" t="s">
        <v>836</v>
      </c>
      <c r="B68" t="s">
        <v>1784</v>
      </c>
      <c r="C68" t="s">
        <v>1715</v>
      </c>
      <c r="D68" t="s">
        <v>1716</v>
      </c>
      <c r="E68" t="s">
        <v>20</v>
      </c>
      <c r="F68">
        <v>572</v>
      </c>
      <c r="G68">
        <v>10089</v>
      </c>
      <c r="H68">
        <v>2022</v>
      </c>
      <c r="I68">
        <v>12</v>
      </c>
      <c r="J68" t="s">
        <v>783</v>
      </c>
      <c r="K68">
        <v>4</v>
      </c>
      <c r="L68" t="s">
        <v>28</v>
      </c>
      <c r="M68">
        <v>0</v>
      </c>
      <c r="N68" t="b">
        <v>0</v>
      </c>
      <c r="O68" t="b">
        <v>1</v>
      </c>
      <c r="P68">
        <v>-10089</v>
      </c>
    </row>
    <row r="69" spans="1:16" x14ac:dyDescent="0.3">
      <c r="A69" t="s">
        <v>847</v>
      </c>
      <c r="B69" t="s">
        <v>1785</v>
      </c>
      <c r="C69" t="s">
        <v>1723</v>
      </c>
      <c r="D69" t="s">
        <v>1724</v>
      </c>
      <c r="E69" t="s">
        <v>35</v>
      </c>
      <c r="F69">
        <v>151</v>
      </c>
      <c r="G69">
        <v>10240</v>
      </c>
      <c r="H69">
        <v>2022</v>
      </c>
      <c r="I69">
        <v>12</v>
      </c>
      <c r="J69" t="s">
        <v>783</v>
      </c>
      <c r="K69">
        <v>4</v>
      </c>
      <c r="L69" t="s">
        <v>22</v>
      </c>
      <c r="M69">
        <v>5</v>
      </c>
      <c r="N69" t="b">
        <v>1</v>
      </c>
      <c r="O69" t="b">
        <v>0</v>
      </c>
      <c r="P69">
        <v>-10240</v>
      </c>
    </row>
    <row r="70" spans="1:16" x14ac:dyDescent="0.3">
      <c r="A70" t="s">
        <v>863</v>
      </c>
      <c r="B70" t="s">
        <v>1786</v>
      </c>
      <c r="C70" t="s">
        <v>1709</v>
      </c>
      <c r="D70" t="s">
        <v>1713</v>
      </c>
      <c r="E70" t="s">
        <v>35</v>
      </c>
      <c r="F70">
        <v>255</v>
      </c>
      <c r="G70">
        <v>10495</v>
      </c>
      <c r="H70">
        <v>2023</v>
      </c>
      <c r="I70">
        <v>1</v>
      </c>
      <c r="J70" t="s">
        <v>21</v>
      </c>
      <c r="K70">
        <v>1</v>
      </c>
      <c r="L70" t="s">
        <v>22</v>
      </c>
      <c r="M70">
        <v>5</v>
      </c>
      <c r="N70" t="b">
        <v>1</v>
      </c>
      <c r="O70" t="b">
        <v>0</v>
      </c>
      <c r="P70">
        <v>-10495</v>
      </c>
    </row>
    <row r="71" spans="1:16" x14ac:dyDescent="0.3">
      <c r="A71" t="s">
        <v>881</v>
      </c>
      <c r="B71" t="s">
        <v>1787</v>
      </c>
      <c r="C71" t="s">
        <v>1723</v>
      </c>
      <c r="D71" t="s">
        <v>1710</v>
      </c>
      <c r="E71" t="s">
        <v>35</v>
      </c>
      <c r="F71">
        <v>519</v>
      </c>
      <c r="G71">
        <v>11014</v>
      </c>
      <c r="H71">
        <v>2023</v>
      </c>
      <c r="I71">
        <v>1</v>
      </c>
      <c r="J71" t="s">
        <v>21</v>
      </c>
      <c r="K71">
        <v>1</v>
      </c>
      <c r="L71" t="s">
        <v>22</v>
      </c>
      <c r="M71">
        <v>5</v>
      </c>
      <c r="N71" t="b">
        <v>1</v>
      </c>
      <c r="O71" t="b">
        <v>0</v>
      </c>
      <c r="P71">
        <v>-11014</v>
      </c>
    </row>
    <row r="72" spans="1:16" x14ac:dyDescent="0.3">
      <c r="A72" t="s">
        <v>896</v>
      </c>
      <c r="B72" t="s">
        <v>1788</v>
      </c>
      <c r="C72" t="s">
        <v>1720</v>
      </c>
      <c r="D72" t="s">
        <v>1710</v>
      </c>
      <c r="E72" t="s">
        <v>35</v>
      </c>
      <c r="F72">
        <v>176</v>
      </c>
      <c r="G72">
        <v>11190</v>
      </c>
      <c r="H72">
        <v>2023</v>
      </c>
      <c r="I72">
        <v>1</v>
      </c>
      <c r="J72" t="s">
        <v>21</v>
      </c>
      <c r="K72">
        <v>1</v>
      </c>
      <c r="L72" t="s">
        <v>22</v>
      </c>
      <c r="M72">
        <v>5</v>
      </c>
      <c r="N72" t="b">
        <v>1</v>
      </c>
      <c r="O72" t="b">
        <v>0</v>
      </c>
      <c r="P72">
        <v>-11190</v>
      </c>
    </row>
    <row r="73" spans="1:16" x14ac:dyDescent="0.3">
      <c r="A73" t="s">
        <v>900</v>
      </c>
      <c r="B73" t="s">
        <v>1789</v>
      </c>
      <c r="C73" t="s">
        <v>1715</v>
      </c>
      <c r="D73" t="s">
        <v>1716</v>
      </c>
      <c r="E73" t="s">
        <v>20</v>
      </c>
      <c r="F73">
        <v>658</v>
      </c>
      <c r="G73">
        <v>10532</v>
      </c>
      <c r="H73">
        <v>2023</v>
      </c>
      <c r="I73">
        <v>1</v>
      </c>
      <c r="J73" t="s">
        <v>21</v>
      </c>
      <c r="K73">
        <v>1</v>
      </c>
      <c r="L73" t="s">
        <v>28</v>
      </c>
      <c r="M73">
        <v>0</v>
      </c>
      <c r="N73" t="b">
        <v>0</v>
      </c>
      <c r="O73" t="b">
        <v>1</v>
      </c>
      <c r="P73">
        <v>-10532</v>
      </c>
    </row>
    <row r="74" spans="1:16" x14ac:dyDescent="0.3">
      <c r="A74" t="s">
        <v>910</v>
      </c>
      <c r="B74" t="s">
        <v>1790</v>
      </c>
      <c r="C74" t="s">
        <v>1709</v>
      </c>
      <c r="D74" t="s">
        <v>1713</v>
      </c>
      <c r="E74" t="s">
        <v>35</v>
      </c>
      <c r="F74">
        <v>362</v>
      </c>
      <c r="G74">
        <v>10894</v>
      </c>
      <c r="H74">
        <v>2023</v>
      </c>
      <c r="I74">
        <v>1</v>
      </c>
      <c r="J74" t="s">
        <v>21</v>
      </c>
      <c r="K74">
        <v>1</v>
      </c>
      <c r="L74" t="s">
        <v>22</v>
      </c>
      <c r="M74">
        <v>5</v>
      </c>
      <c r="N74" t="b">
        <v>1</v>
      </c>
      <c r="O74" t="b">
        <v>0</v>
      </c>
      <c r="P74">
        <v>-10894</v>
      </c>
    </row>
    <row r="75" spans="1:16" x14ac:dyDescent="0.3">
      <c r="A75" t="s">
        <v>915</v>
      </c>
      <c r="B75" t="s">
        <v>1791</v>
      </c>
      <c r="C75" t="s">
        <v>1715</v>
      </c>
      <c r="D75" t="s">
        <v>1716</v>
      </c>
      <c r="E75" t="s">
        <v>20</v>
      </c>
      <c r="F75">
        <v>358</v>
      </c>
      <c r="G75">
        <v>10536</v>
      </c>
      <c r="H75">
        <v>2023</v>
      </c>
      <c r="I75">
        <v>1</v>
      </c>
      <c r="J75" t="s">
        <v>21</v>
      </c>
      <c r="K75">
        <v>1</v>
      </c>
      <c r="L75" t="s">
        <v>28</v>
      </c>
      <c r="M75">
        <v>0</v>
      </c>
      <c r="N75" t="b">
        <v>0</v>
      </c>
      <c r="O75" t="b">
        <v>1</v>
      </c>
      <c r="P75">
        <v>-10536</v>
      </c>
    </row>
    <row r="76" spans="1:16" x14ac:dyDescent="0.3">
      <c r="A76" t="s">
        <v>926</v>
      </c>
      <c r="B76" t="s">
        <v>1792</v>
      </c>
      <c r="C76" t="s">
        <v>1709</v>
      </c>
      <c r="D76" t="s">
        <v>1713</v>
      </c>
      <c r="E76" t="s">
        <v>35</v>
      </c>
      <c r="F76">
        <v>170</v>
      </c>
      <c r="G76">
        <v>10706</v>
      </c>
      <c r="H76">
        <v>2023</v>
      </c>
      <c r="I76">
        <v>2</v>
      </c>
      <c r="J76" t="s">
        <v>107</v>
      </c>
      <c r="K76">
        <v>1</v>
      </c>
      <c r="L76" t="s">
        <v>22</v>
      </c>
      <c r="M76">
        <v>5</v>
      </c>
      <c r="N76" t="b">
        <v>1</v>
      </c>
      <c r="O76" t="b">
        <v>0</v>
      </c>
      <c r="P76">
        <v>-10706</v>
      </c>
    </row>
    <row r="77" spans="1:16" x14ac:dyDescent="0.3">
      <c r="A77" t="s">
        <v>940</v>
      </c>
      <c r="B77" t="s">
        <v>1793</v>
      </c>
      <c r="C77" t="s">
        <v>1723</v>
      </c>
      <c r="D77" t="s">
        <v>1713</v>
      </c>
      <c r="E77" t="s">
        <v>35</v>
      </c>
      <c r="F77">
        <v>544</v>
      </c>
      <c r="G77">
        <v>11250</v>
      </c>
      <c r="H77">
        <v>2023</v>
      </c>
      <c r="I77">
        <v>2</v>
      </c>
      <c r="J77" t="s">
        <v>107</v>
      </c>
      <c r="K77">
        <v>1</v>
      </c>
      <c r="L77" t="s">
        <v>22</v>
      </c>
      <c r="M77">
        <v>5</v>
      </c>
      <c r="N77" t="b">
        <v>1</v>
      </c>
      <c r="O77" t="b">
        <v>0</v>
      </c>
      <c r="P77">
        <v>-11250</v>
      </c>
    </row>
    <row r="78" spans="1:16" x14ac:dyDescent="0.3">
      <c r="A78" t="s">
        <v>957</v>
      </c>
      <c r="B78" t="s">
        <v>1794</v>
      </c>
      <c r="C78" t="s">
        <v>1723</v>
      </c>
      <c r="D78" t="s">
        <v>1724</v>
      </c>
      <c r="E78" t="s">
        <v>35</v>
      </c>
      <c r="F78">
        <v>551</v>
      </c>
      <c r="G78">
        <v>11801</v>
      </c>
      <c r="H78">
        <v>2023</v>
      </c>
      <c r="I78">
        <v>2</v>
      </c>
      <c r="J78" t="s">
        <v>107</v>
      </c>
      <c r="K78">
        <v>1</v>
      </c>
      <c r="L78" t="s">
        <v>22</v>
      </c>
      <c r="M78">
        <v>5</v>
      </c>
      <c r="N78" t="b">
        <v>1</v>
      </c>
      <c r="O78" t="b">
        <v>0</v>
      </c>
      <c r="P78">
        <v>-11801</v>
      </c>
    </row>
    <row r="79" spans="1:16" x14ac:dyDescent="0.3">
      <c r="A79" t="s">
        <v>972</v>
      </c>
      <c r="B79" t="s">
        <v>1795</v>
      </c>
      <c r="C79" t="s">
        <v>1720</v>
      </c>
      <c r="D79" t="s">
        <v>1718</v>
      </c>
      <c r="E79" t="s">
        <v>35</v>
      </c>
      <c r="F79">
        <v>271</v>
      </c>
      <c r="G79">
        <v>12072</v>
      </c>
      <c r="H79">
        <v>2023</v>
      </c>
      <c r="I79">
        <v>2</v>
      </c>
      <c r="J79" t="s">
        <v>107</v>
      </c>
      <c r="K79">
        <v>1</v>
      </c>
      <c r="L79" t="s">
        <v>22</v>
      </c>
      <c r="M79">
        <v>5</v>
      </c>
      <c r="N79" t="b">
        <v>1</v>
      </c>
      <c r="O79" t="b">
        <v>0</v>
      </c>
      <c r="P79">
        <v>-12072</v>
      </c>
    </row>
    <row r="80" spans="1:16" x14ac:dyDescent="0.3">
      <c r="A80" t="s">
        <v>987</v>
      </c>
      <c r="B80" t="s">
        <v>1796</v>
      </c>
      <c r="C80" t="s">
        <v>1712</v>
      </c>
      <c r="D80" t="s">
        <v>1724</v>
      </c>
      <c r="E80" t="s">
        <v>35</v>
      </c>
      <c r="F80">
        <v>478</v>
      </c>
      <c r="G80">
        <v>12550</v>
      </c>
      <c r="H80">
        <v>2023</v>
      </c>
      <c r="I80">
        <v>3</v>
      </c>
      <c r="J80" t="s">
        <v>170</v>
      </c>
      <c r="K80">
        <v>1</v>
      </c>
      <c r="L80" t="s">
        <v>22</v>
      </c>
      <c r="M80">
        <v>5</v>
      </c>
      <c r="N80" t="b">
        <v>1</v>
      </c>
      <c r="O80" t="b">
        <v>0</v>
      </c>
      <c r="P80">
        <v>-12550</v>
      </c>
    </row>
    <row r="81" spans="1:16" x14ac:dyDescent="0.3">
      <c r="A81" t="s">
        <v>1001</v>
      </c>
      <c r="B81" t="s">
        <v>1797</v>
      </c>
      <c r="C81" t="s">
        <v>1723</v>
      </c>
      <c r="D81" t="s">
        <v>1713</v>
      </c>
      <c r="E81" t="s">
        <v>35</v>
      </c>
      <c r="F81">
        <v>376</v>
      </c>
      <c r="G81">
        <v>12926</v>
      </c>
      <c r="H81">
        <v>2023</v>
      </c>
      <c r="I81">
        <v>3</v>
      </c>
      <c r="J81" t="s">
        <v>170</v>
      </c>
      <c r="K81">
        <v>1</v>
      </c>
      <c r="L81" t="s">
        <v>22</v>
      </c>
      <c r="M81">
        <v>5</v>
      </c>
      <c r="N81" t="b">
        <v>1</v>
      </c>
      <c r="O81" t="b">
        <v>0</v>
      </c>
      <c r="P81">
        <v>-12926</v>
      </c>
    </row>
    <row r="82" spans="1:16" x14ac:dyDescent="0.3">
      <c r="A82" t="s">
        <v>1005</v>
      </c>
      <c r="B82" t="s">
        <v>1798</v>
      </c>
      <c r="C82" t="s">
        <v>1715</v>
      </c>
      <c r="D82" t="s">
        <v>1716</v>
      </c>
      <c r="E82" t="s">
        <v>20</v>
      </c>
      <c r="F82">
        <v>720</v>
      </c>
      <c r="G82">
        <v>12206</v>
      </c>
      <c r="H82">
        <v>2023</v>
      </c>
      <c r="I82">
        <v>3</v>
      </c>
      <c r="J82" t="s">
        <v>170</v>
      </c>
      <c r="K82">
        <v>1</v>
      </c>
      <c r="L82" t="s">
        <v>28</v>
      </c>
      <c r="M82">
        <v>0</v>
      </c>
      <c r="N82" t="b">
        <v>0</v>
      </c>
      <c r="O82" t="b">
        <v>1</v>
      </c>
      <c r="P82">
        <v>-12206</v>
      </c>
    </row>
    <row r="83" spans="1:16" x14ac:dyDescent="0.3">
      <c r="A83" t="s">
        <v>1017</v>
      </c>
      <c r="B83" t="s">
        <v>1799</v>
      </c>
      <c r="C83" t="s">
        <v>1723</v>
      </c>
      <c r="D83" t="s">
        <v>1713</v>
      </c>
      <c r="E83" t="s">
        <v>35</v>
      </c>
      <c r="F83">
        <v>370</v>
      </c>
      <c r="G83">
        <v>12576</v>
      </c>
      <c r="H83">
        <v>2023</v>
      </c>
      <c r="I83">
        <v>3</v>
      </c>
      <c r="J83" t="s">
        <v>170</v>
      </c>
      <c r="K83">
        <v>1</v>
      </c>
      <c r="L83" t="s">
        <v>22</v>
      </c>
      <c r="M83">
        <v>5</v>
      </c>
      <c r="N83" t="b">
        <v>1</v>
      </c>
      <c r="O83" t="b">
        <v>0</v>
      </c>
      <c r="P83">
        <v>-12576</v>
      </c>
    </row>
    <row r="84" spans="1:16" x14ac:dyDescent="0.3">
      <c r="A84" t="s">
        <v>1032</v>
      </c>
      <c r="B84" t="s">
        <v>1800</v>
      </c>
      <c r="C84" t="s">
        <v>1723</v>
      </c>
      <c r="D84" t="s">
        <v>1713</v>
      </c>
      <c r="E84" t="s">
        <v>35</v>
      </c>
      <c r="F84">
        <v>224</v>
      </c>
      <c r="G84">
        <v>12800</v>
      </c>
      <c r="H84">
        <v>2023</v>
      </c>
      <c r="I84">
        <v>3</v>
      </c>
      <c r="J84" t="s">
        <v>170</v>
      </c>
      <c r="K84">
        <v>1</v>
      </c>
      <c r="L84" t="s">
        <v>22</v>
      </c>
      <c r="M84">
        <v>5</v>
      </c>
      <c r="N84" t="b">
        <v>1</v>
      </c>
      <c r="O84" t="b">
        <v>0</v>
      </c>
      <c r="P84">
        <v>-12800</v>
      </c>
    </row>
    <row r="85" spans="1:16" x14ac:dyDescent="0.3">
      <c r="A85" t="s">
        <v>1047</v>
      </c>
      <c r="B85" t="s">
        <v>1801</v>
      </c>
      <c r="C85" t="s">
        <v>1723</v>
      </c>
      <c r="D85" t="s">
        <v>1724</v>
      </c>
      <c r="E85" t="s">
        <v>35</v>
      </c>
      <c r="F85">
        <v>148</v>
      </c>
      <c r="G85">
        <v>12948</v>
      </c>
      <c r="H85">
        <v>2023</v>
      </c>
      <c r="I85">
        <v>4</v>
      </c>
      <c r="J85" t="s">
        <v>238</v>
      </c>
      <c r="K85">
        <v>2</v>
      </c>
      <c r="L85" t="s">
        <v>22</v>
      </c>
      <c r="M85">
        <v>5</v>
      </c>
      <c r="N85" t="b">
        <v>1</v>
      </c>
      <c r="O85" t="b">
        <v>0</v>
      </c>
      <c r="P85">
        <v>-12948</v>
      </c>
    </row>
    <row r="86" spans="1:16" x14ac:dyDescent="0.3">
      <c r="A86" t="s">
        <v>1062</v>
      </c>
      <c r="B86" t="s">
        <v>1802</v>
      </c>
      <c r="C86" t="s">
        <v>1720</v>
      </c>
      <c r="D86" t="s">
        <v>1724</v>
      </c>
      <c r="E86" t="s">
        <v>35</v>
      </c>
      <c r="F86">
        <v>149</v>
      </c>
      <c r="G86">
        <v>13097</v>
      </c>
      <c r="H86">
        <v>2023</v>
      </c>
      <c r="I86">
        <v>4</v>
      </c>
      <c r="J86" t="s">
        <v>238</v>
      </c>
      <c r="K86">
        <v>2</v>
      </c>
      <c r="L86" t="s">
        <v>22</v>
      </c>
      <c r="M86">
        <v>5</v>
      </c>
      <c r="N86" t="b">
        <v>1</v>
      </c>
      <c r="O86" t="b">
        <v>0</v>
      </c>
      <c r="P86">
        <v>-13097</v>
      </c>
    </row>
    <row r="87" spans="1:16" x14ac:dyDescent="0.3">
      <c r="A87" t="s">
        <v>1077</v>
      </c>
      <c r="B87" t="s">
        <v>1803</v>
      </c>
      <c r="C87" t="s">
        <v>1723</v>
      </c>
      <c r="D87" t="s">
        <v>1718</v>
      </c>
      <c r="E87" t="s">
        <v>35</v>
      </c>
      <c r="F87">
        <v>266</v>
      </c>
      <c r="G87">
        <v>13363</v>
      </c>
      <c r="H87">
        <v>2023</v>
      </c>
      <c r="I87">
        <v>4</v>
      </c>
      <c r="J87" t="s">
        <v>238</v>
      </c>
      <c r="K87">
        <v>2</v>
      </c>
      <c r="L87" t="s">
        <v>22</v>
      </c>
      <c r="M87">
        <v>5</v>
      </c>
      <c r="N87" t="b">
        <v>1</v>
      </c>
      <c r="O87" t="b">
        <v>0</v>
      </c>
      <c r="P87">
        <v>-13363</v>
      </c>
    </row>
    <row r="88" spans="1:16" x14ac:dyDescent="0.3">
      <c r="A88" t="s">
        <v>1082</v>
      </c>
      <c r="B88" t="s">
        <v>1804</v>
      </c>
      <c r="C88" t="s">
        <v>1715</v>
      </c>
      <c r="D88" t="s">
        <v>1716</v>
      </c>
      <c r="E88" t="s">
        <v>20</v>
      </c>
      <c r="F88">
        <v>638</v>
      </c>
      <c r="G88">
        <v>12725</v>
      </c>
      <c r="H88">
        <v>2023</v>
      </c>
      <c r="I88">
        <v>4</v>
      </c>
      <c r="J88" t="s">
        <v>238</v>
      </c>
      <c r="K88">
        <v>2</v>
      </c>
      <c r="L88" t="s">
        <v>28</v>
      </c>
      <c r="M88">
        <v>0</v>
      </c>
      <c r="N88" t="b">
        <v>0</v>
      </c>
      <c r="O88" t="b">
        <v>1</v>
      </c>
      <c r="P88">
        <v>-12725</v>
      </c>
    </row>
    <row r="89" spans="1:16" x14ac:dyDescent="0.3">
      <c r="A89" t="s">
        <v>1092</v>
      </c>
      <c r="B89" t="s">
        <v>1805</v>
      </c>
      <c r="C89" t="s">
        <v>1712</v>
      </c>
      <c r="D89" t="s">
        <v>1724</v>
      </c>
      <c r="E89" t="s">
        <v>35</v>
      </c>
      <c r="F89">
        <v>341</v>
      </c>
      <c r="G89">
        <v>13066</v>
      </c>
      <c r="H89">
        <v>2023</v>
      </c>
      <c r="I89">
        <v>4</v>
      </c>
      <c r="J89" t="s">
        <v>238</v>
      </c>
      <c r="K89">
        <v>2</v>
      </c>
      <c r="L89" t="s">
        <v>22</v>
      </c>
      <c r="M89">
        <v>5</v>
      </c>
      <c r="N89" t="b">
        <v>1</v>
      </c>
      <c r="O89" t="b">
        <v>0</v>
      </c>
      <c r="P89">
        <v>-13066</v>
      </c>
    </row>
    <row r="90" spans="1:16" x14ac:dyDescent="0.3">
      <c r="A90" t="s">
        <v>1097</v>
      </c>
      <c r="B90" t="s">
        <v>1806</v>
      </c>
      <c r="C90" t="s">
        <v>1715</v>
      </c>
      <c r="D90" t="s">
        <v>1716</v>
      </c>
      <c r="E90" t="s">
        <v>20</v>
      </c>
      <c r="F90">
        <v>307</v>
      </c>
      <c r="G90">
        <v>12759</v>
      </c>
      <c r="H90">
        <v>2023</v>
      </c>
      <c r="I90">
        <v>4</v>
      </c>
      <c r="J90" t="s">
        <v>238</v>
      </c>
      <c r="K90">
        <v>2</v>
      </c>
      <c r="L90" t="s">
        <v>28</v>
      </c>
      <c r="M90">
        <v>0</v>
      </c>
      <c r="N90" t="b">
        <v>0</v>
      </c>
      <c r="O90" t="b">
        <v>1</v>
      </c>
      <c r="P90">
        <v>-12759</v>
      </c>
    </row>
    <row r="91" spans="1:16" x14ac:dyDescent="0.3">
      <c r="A91" t="s">
        <v>1109</v>
      </c>
      <c r="B91" t="s">
        <v>1807</v>
      </c>
      <c r="C91" t="s">
        <v>1712</v>
      </c>
      <c r="D91" t="s">
        <v>1724</v>
      </c>
      <c r="E91" t="s">
        <v>35</v>
      </c>
      <c r="F91">
        <v>325</v>
      </c>
      <c r="G91">
        <v>13084</v>
      </c>
      <c r="H91">
        <v>2023</v>
      </c>
      <c r="I91">
        <v>4</v>
      </c>
      <c r="J91" t="s">
        <v>238</v>
      </c>
      <c r="K91">
        <v>2</v>
      </c>
      <c r="L91" t="s">
        <v>22</v>
      </c>
      <c r="M91">
        <v>5</v>
      </c>
      <c r="N91" t="b">
        <v>1</v>
      </c>
      <c r="O91" t="b">
        <v>0</v>
      </c>
      <c r="P91">
        <v>-13084</v>
      </c>
    </row>
    <row r="92" spans="1:16" x14ac:dyDescent="0.3">
      <c r="A92" t="s">
        <v>1124</v>
      </c>
      <c r="B92" t="s">
        <v>1808</v>
      </c>
      <c r="C92" t="s">
        <v>1720</v>
      </c>
      <c r="D92" t="s">
        <v>1718</v>
      </c>
      <c r="E92" t="s">
        <v>35</v>
      </c>
      <c r="F92">
        <v>249</v>
      </c>
      <c r="G92">
        <v>13333</v>
      </c>
      <c r="H92">
        <v>2023</v>
      </c>
      <c r="I92">
        <v>5</v>
      </c>
      <c r="J92" t="s">
        <v>305</v>
      </c>
      <c r="K92">
        <v>2</v>
      </c>
      <c r="L92" t="s">
        <v>22</v>
      </c>
      <c r="M92">
        <v>5</v>
      </c>
      <c r="N92" t="b">
        <v>1</v>
      </c>
      <c r="O92" t="b">
        <v>0</v>
      </c>
      <c r="P92">
        <v>-13333</v>
      </c>
    </row>
    <row r="93" spans="1:16" x14ac:dyDescent="0.3">
      <c r="A93" t="s">
        <v>1138</v>
      </c>
      <c r="B93" t="s">
        <v>1809</v>
      </c>
      <c r="C93" t="s">
        <v>1709</v>
      </c>
      <c r="D93" t="s">
        <v>1713</v>
      </c>
      <c r="E93" t="s">
        <v>35</v>
      </c>
      <c r="F93">
        <v>575</v>
      </c>
      <c r="G93">
        <v>13908</v>
      </c>
      <c r="H93">
        <v>2023</v>
      </c>
      <c r="I93">
        <v>5</v>
      </c>
      <c r="J93" t="s">
        <v>305</v>
      </c>
      <c r="K93">
        <v>2</v>
      </c>
      <c r="L93" t="s">
        <v>22</v>
      </c>
      <c r="M93">
        <v>5</v>
      </c>
      <c r="N93" t="b">
        <v>1</v>
      </c>
      <c r="O93" t="b">
        <v>0</v>
      </c>
      <c r="P93">
        <v>-13908</v>
      </c>
    </row>
    <row r="94" spans="1:16" x14ac:dyDescent="0.3">
      <c r="A94" t="s">
        <v>1152</v>
      </c>
      <c r="B94" t="s">
        <v>1810</v>
      </c>
      <c r="C94" t="s">
        <v>1723</v>
      </c>
      <c r="D94" t="s">
        <v>1718</v>
      </c>
      <c r="E94" t="s">
        <v>35</v>
      </c>
      <c r="F94">
        <v>556</v>
      </c>
      <c r="G94">
        <v>14464</v>
      </c>
      <c r="H94">
        <v>2023</v>
      </c>
      <c r="I94">
        <v>5</v>
      </c>
      <c r="J94" t="s">
        <v>305</v>
      </c>
      <c r="K94">
        <v>2</v>
      </c>
      <c r="L94" t="s">
        <v>22</v>
      </c>
      <c r="M94">
        <v>5</v>
      </c>
      <c r="N94" t="b">
        <v>1</v>
      </c>
      <c r="O94" t="b">
        <v>0</v>
      </c>
      <c r="P94">
        <v>-14464</v>
      </c>
    </row>
    <row r="95" spans="1:16" x14ac:dyDescent="0.3">
      <c r="A95" t="s">
        <v>1168</v>
      </c>
      <c r="B95" t="s">
        <v>1811</v>
      </c>
      <c r="C95" t="s">
        <v>1712</v>
      </c>
      <c r="D95" t="s">
        <v>1710</v>
      </c>
      <c r="E95" t="s">
        <v>35</v>
      </c>
      <c r="F95">
        <v>353</v>
      </c>
      <c r="G95">
        <v>14817</v>
      </c>
      <c r="H95">
        <v>2023</v>
      </c>
      <c r="I95">
        <v>5</v>
      </c>
      <c r="J95" t="s">
        <v>305</v>
      </c>
      <c r="K95">
        <v>2</v>
      </c>
      <c r="L95" t="s">
        <v>22</v>
      </c>
      <c r="M95">
        <v>5</v>
      </c>
      <c r="N95" t="b">
        <v>1</v>
      </c>
      <c r="O95" t="b">
        <v>0</v>
      </c>
      <c r="P95">
        <v>-14817</v>
      </c>
    </row>
    <row r="96" spans="1:16" x14ac:dyDescent="0.3">
      <c r="A96" t="s">
        <v>1173</v>
      </c>
      <c r="B96" t="s">
        <v>1812</v>
      </c>
      <c r="C96" t="s">
        <v>1715</v>
      </c>
      <c r="D96" t="s">
        <v>1716</v>
      </c>
      <c r="E96" t="s">
        <v>20</v>
      </c>
      <c r="F96">
        <v>462</v>
      </c>
      <c r="G96">
        <v>14355</v>
      </c>
      <c r="H96">
        <v>2023</v>
      </c>
      <c r="I96">
        <v>5</v>
      </c>
      <c r="J96" t="s">
        <v>305</v>
      </c>
      <c r="K96">
        <v>2</v>
      </c>
      <c r="L96" t="s">
        <v>28</v>
      </c>
      <c r="M96">
        <v>0</v>
      </c>
      <c r="N96" t="b">
        <v>0</v>
      </c>
      <c r="O96" t="b">
        <v>1</v>
      </c>
      <c r="P96">
        <v>-14355</v>
      </c>
    </row>
    <row r="97" spans="1:16" x14ac:dyDescent="0.3">
      <c r="A97" t="s">
        <v>1183</v>
      </c>
      <c r="B97" t="s">
        <v>1813</v>
      </c>
      <c r="C97" t="s">
        <v>1723</v>
      </c>
      <c r="D97" t="s">
        <v>1724</v>
      </c>
      <c r="E97" t="s">
        <v>35</v>
      </c>
      <c r="F97">
        <v>184</v>
      </c>
      <c r="G97">
        <v>14539</v>
      </c>
      <c r="H97">
        <v>2023</v>
      </c>
      <c r="I97">
        <v>6</v>
      </c>
      <c r="J97" t="s">
        <v>371</v>
      </c>
      <c r="K97">
        <v>2</v>
      </c>
      <c r="L97" t="s">
        <v>22</v>
      </c>
      <c r="M97">
        <v>5</v>
      </c>
      <c r="N97" t="b">
        <v>1</v>
      </c>
      <c r="O97" t="b">
        <v>0</v>
      </c>
      <c r="P97">
        <v>-14539</v>
      </c>
    </row>
    <row r="98" spans="1:16" x14ac:dyDescent="0.3">
      <c r="A98" t="s">
        <v>1198</v>
      </c>
      <c r="B98" t="s">
        <v>1814</v>
      </c>
      <c r="C98" t="s">
        <v>1709</v>
      </c>
      <c r="D98" t="s">
        <v>1718</v>
      </c>
      <c r="E98" t="s">
        <v>35</v>
      </c>
      <c r="F98">
        <v>224</v>
      </c>
      <c r="G98">
        <v>14763</v>
      </c>
      <c r="H98">
        <v>2023</v>
      </c>
      <c r="I98">
        <v>6</v>
      </c>
      <c r="J98" t="s">
        <v>371</v>
      </c>
      <c r="K98">
        <v>2</v>
      </c>
      <c r="L98" t="s">
        <v>22</v>
      </c>
      <c r="M98">
        <v>5</v>
      </c>
      <c r="N98" t="b">
        <v>1</v>
      </c>
      <c r="O98" t="b">
        <v>0</v>
      </c>
      <c r="P98">
        <v>-14763</v>
      </c>
    </row>
    <row r="99" spans="1:16" x14ac:dyDescent="0.3">
      <c r="A99" t="s">
        <v>1215</v>
      </c>
      <c r="B99" t="s">
        <v>1815</v>
      </c>
      <c r="C99" t="s">
        <v>1720</v>
      </c>
      <c r="D99" t="s">
        <v>1713</v>
      </c>
      <c r="E99" t="s">
        <v>35</v>
      </c>
      <c r="F99">
        <v>586</v>
      </c>
      <c r="G99">
        <v>15349</v>
      </c>
      <c r="H99">
        <v>2023</v>
      </c>
      <c r="I99">
        <v>6</v>
      </c>
      <c r="J99" t="s">
        <v>371</v>
      </c>
      <c r="K99">
        <v>2</v>
      </c>
      <c r="L99" t="s">
        <v>22</v>
      </c>
      <c r="M99">
        <v>5</v>
      </c>
      <c r="N99" t="b">
        <v>1</v>
      </c>
      <c r="O99" t="b">
        <v>0</v>
      </c>
      <c r="P99">
        <v>-15349</v>
      </c>
    </row>
    <row r="100" spans="1:16" x14ac:dyDescent="0.3">
      <c r="A100" t="s">
        <v>1231</v>
      </c>
      <c r="B100" t="s">
        <v>1816</v>
      </c>
      <c r="C100" t="s">
        <v>1723</v>
      </c>
      <c r="D100" t="s">
        <v>1710</v>
      </c>
      <c r="E100" t="s">
        <v>35</v>
      </c>
      <c r="F100">
        <v>167</v>
      </c>
      <c r="G100">
        <v>15516</v>
      </c>
      <c r="H100">
        <v>2023</v>
      </c>
      <c r="I100">
        <v>6</v>
      </c>
      <c r="J100" t="s">
        <v>371</v>
      </c>
      <c r="K100">
        <v>2</v>
      </c>
      <c r="L100" t="s">
        <v>22</v>
      </c>
      <c r="M100">
        <v>5</v>
      </c>
      <c r="N100" t="b">
        <v>1</v>
      </c>
      <c r="O100" t="b">
        <v>0</v>
      </c>
      <c r="P100">
        <v>-15516</v>
      </c>
    </row>
    <row r="101" spans="1:16" x14ac:dyDescent="0.3">
      <c r="A101" t="s">
        <v>1245</v>
      </c>
      <c r="B101" t="s">
        <v>1817</v>
      </c>
      <c r="C101" t="s">
        <v>1712</v>
      </c>
      <c r="D101" t="s">
        <v>1710</v>
      </c>
      <c r="E101" t="s">
        <v>35</v>
      </c>
      <c r="F101">
        <v>266</v>
      </c>
      <c r="G101">
        <v>15782</v>
      </c>
      <c r="H101">
        <v>2023</v>
      </c>
      <c r="I101">
        <v>7</v>
      </c>
      <c r="J101" t="s">
        <v>441</v>
      </c>
      <c r="K101">
        <v>3</v>
      </c>
      <c r="L101" t="s">
        <v>22</v>
      </c>
      <c r="M101">
        <v>5</v>
      </c>
      <c r="N101" t="b">
        <v>1</v>
      </c>
      <c r="O101" t="b">
        <v>0</v>
      </c>
      <c r="P101">
        <v>-15782</v>
      </c>
    </row>
    <row r="102" spans="1:16" x14ac:dyDescent="0.3">
      <c r="A102" t="s">
        <v>1249</v>
      </c>
      <c r="B102" t="s">
        <v>1818</v>
      </c>
      <c r="C102" t="s">
        <v>1715</v>
      </c>
      <c r="D102" t="s">
        <v>1716</v>
      </c>
      <c r="E102" t="s">
        <v>20</v>
      </c>
      <c r="F102">
        <v>552</v>
      </c>
      <c r="G102">
        <v>15230</v>
      </c>
      <c r="H102">
        <v>2023</v>
      </c>
      <c r="I102">
        <v>7</v>
      </c>
      <c r="J102" t="s">
        <v>441</v>
      </c>
      <c r="K102">
        <v>3</v>
      </c>
      <c r="L102" t="s">
        <v>28</v>
      </c>
      <c r="M102">
        <v>0</v>
      </c>
      <c r="N102" t="b">
        <v>0</v>
      </c>
      <c r="O102" t="b">
        <v>1</v>
      </c>
      <c r="P102">
        <v>-15230</v>
      </c>
    </row>
    <row r="103" spans="1:16" x14ac:dyDescent="0.3">
      <c r="A103" t="s">
        <v>1259</v>
      </c>
      <c r="B103" t="s">
        <v>1819</v>
      </c>
      <c r="C103" t="s">
        <v>1709</v>
      </c>
      <c r="D103" t="s">
        <v>1718</v>
      </c>
      <c r="E103" t="s">
        <v>35</v>
      </c>
      <c r="F103">
        <v>263</v>
      </c>
      <c r="G103">
        <v>15493</v>
      </c>
      <c r="H103">
        <v>2023</v>
      </c>
      <c r="I103">
        <v>7</v>
      </c>
      <c r="J103" t="s">
        <v>441</v>
      </c>
      <c r="K103">
        <v>3</v>
      </c>
      <c r="L103" t="s">
        <v>22</v>
      </c>
      <c r="M103">
        <v>5</v>
      </c>
      <c r="N103" t="b">
        <v>1</v>
      </c>
      <c r="O103" t="b">
        <v>0</v>
      </c>
      <c r="P103">
        <v>-15493</v>
      </c>
    </row>
    <row r="104" spans="1:16" x14ac:dyDescent="0.3">
      <c r="A104" t="s">
        <v>1276</v>
      </c>
      <c r="B104" t="s">
        <v>1820</v>
      </c>
      <c r="C104" t="s">
        <v>1723</v>
      </c>
      <c r="D104" t="s">
        <v>1718</v>
      </c>
      <c r="E104" t="s">
        <v>35</v>
      </c>
      <c r="F104">
        <v>478</v>
      </c>
      <c r="G104">
        <v>15971</v>
      </c>
      <c r="H104">
        <v>2023</v>
      </c>
      <c r="I104">
        <v>7</v>
      </c>
      <c r="J104" t="s">
        <v>441</v>
      </c>
      <c r="K104">
        <v>3</v>
      </c>
      <c r="L104" t="s">
        <v>22</v>
      </c>
      <c r="M104">
        <v>5</v>
      </c>
      <c r="N104" t="b">
        <v>1</v>
      </c>
      <c r="O104" t="b">
        <v>0</v>
      </c>
      <c r="P104">
        <v>-15971</v>
      </c>
    </row>
    <row r="105" spans="1:16" x14ac:dyDescent="0.3">
      <c r="A105" t="s">
        <v>1290</v>
      </c>
      <c r="B105" t="s">
        <v>1821</v>
      </c>
      <c r="C105" t="s">
        <v>1712</v>
      </c>
      <c r="D105" t="s">
        <v>1713</v>
      </c>
      <c r="E105" t="s">
        <v>35</v>
      </c>
      <c r="F105">
        <v>368</v>
      </c>
      <c r="G105">
        <v>16339</v>
      </c>
      <c r="H105">
        <v>2023</v>
      </c>
      <c r="I105">
        <v>7</v>
      </c>
      <c r="J105" t="s">
        <v>441</v>
      </c>
      <c r="K105">
        <v>3</v>
      </c>
      <c r="L105" t="s">
        <v>22</v>
      </c>
      <c r="M105">
        <v>5</v>
      </c>
      <c r="N105" t="b">
        <v>1</v>
      </c>
      <c r="O105" t="b">
        <v>0</v>
      </c>
      <c r="P105">
        <v>-16339</v>
      </c>
    </row>
    <row r="106" spans="1:16" x14ac:dyDescent="0.3">
      <c r="A106" t="s">
        <v>1294</v>
      </c>
      <c r="B106" t="s">
        <v>1822</v>
      </c>
      <c r="C106" t="s">
        <v>1715</v>
      </c>
      <c r="D106" t="s">
        <v>1716</v>
      </c>
      <c r="E106" t="s">
        <v>20</v>
      </c>
      <c r="F106">
        <v>716</v>
      </c>
      <c r="G106">
        <v>15623</v>
      </c>
      <c r="H106">
        <v>2023</v>
      </c>
      <c r="I106">
        <v>7</v>
      </c>
      <c r="J106" t="s">
        <v>441</v>
      </c>
      <c r="K106">
        <v>3</v>
      </c>
      <c r="L106" t="s">
        <v>28</v>
      </c>
      <c r="M106">
        <v>0</v>
      </c>
      <c r="N106" t="b">
        <v>0</v>
      </c>
      <c r="O106" t="b">
        <v>1</v>
      </c>
      <c r="P106">
        <v>-15623</v>
      </c>
    </row>
    <row r="107" spans="1:16" x14ac:dyDescent="0.3">
      <c r="A107" t="s">
        <v>1307</v>
      </c>
      <c r="B107" t="s">
        <v>1823</v>
      </c>
      <c r="C107" t="s">
        <v>1709</v>
      </c>
      <c r="D107" t="s">
        <v>1713</v>
      </c>
      <c r="E107" t="s">
        <v>35</v>
      </c>
      <c r="F107">
        <v>527</v>
      </c>
      <c r="G107">
        <v>16150</v>
      </c>
      <c r="H107">
        <v>2023</v>
      </c>
      <c r="I107">
        <v>7</v>
      </c>
      <c r="J107" t="s">
        <v>441</v>
      </c>
      <c r="K107">
        <v>3</v>
      </c>
      <c r="L107" t="s">
        <v>22</v>
      </c>
      <c r="M107">
        <v>5</v>
      </c>
      <c r="N107" t="b">
        <v>1</v>
      </c>
      <c r="O107" t="b">
        <v>0</v>
      </c>
      <c r="P107">
        <v>-16150</v>
      </c>
    </row>
    <row r="108" spans="1:16" x14ac:dyDescent="0.3">
      <c r="A108" t="s">
        <v>1321</v>
      </c>
      <c r="B108" t="s">
        <v>1824</v>
      </c>
      <c r="C108" t="s">
        <v>1720</v>
      </c>
      <c r="D108" t="s">
        <v>1710</v>
      </c>
      <c r="E108" t="s">
        <v>35</v>
      </c>
      <c r="F108">
        <v>329</v>
      </c>
      <c r="G108">
        <v>16479</v>
      </c>
      <c r="H108">
        <v>2023</v>
      </c>
      <c r="I108">
        <v>8</v>
      </c>
      <c r="J108" t="s">
        <v>509</v>
      </c>
      <c r="K108">
        <v>3</v>
      </c>
      <c r="L108" t="s">
        <v>22</v>
      </c>
      <c r="M108">
        <v>5</v>
      </c>
      <c r="N108" t="b">
        <v>1</v>
      </c>
      <c r="O108" t="b">
        <v>0</v>
      </c>
      <c r="P108">
        <v>-16479</v>
      </c>
    </row>
    <row r="109" spans="1:16" x14ac:dyDescent="0.3">
      <c r="A109" t="s">
        <v>1337</v>
      </c>
      <c r="B109" t="s">
        <v>1825</v>
      </c>
      <c r="C109" t="s">
        <v>1712</v>
      </c>
      <c r="D109" t="s">
        <v>1710</v>
      </c>
      <c r="E109" t="s">
        <v>35</v>
      </c>
      <c r="F109">
        <v>399</v>
      </c>
      <c r="G109">
        <v>16878</v>
      </c>
      <c r="H109">
        <v>2023</v>
      </c>
      <c r="I109">
        <v>8</v>
      </c>
      <c r="J109" t="s">
        <v>509</v>
      </c>
      <c r="K109">
        <v>3</v>
      </c>
      <c r="L109" t="s">
        <v>22</v>
      </c>
      <c r="M109">
        <v>5</v>
      </c>
      <c r="N109" t="b">
        <v>1</v>
      </c>
      <c r="O109" t="b">
        <v>0</v>
      </c>
      <c r="P109">
        <v>-16878</v>
      </c>
    </row>
    <row r="110" spans="1:16" x14ac:dyDescent="0.3">
      <c r="A110" t="s">
        <v>1351</v>
      </c>
      <c r="B110" t="s">
        <v>1826</v>
      </c>
      <c r="C110" t="s">
        <v>1723</v>
      </c>
      <c r="D110" t="s">
        <v>1724</v>
      </c>
      <c r="E110" t="s">
        <v>35</v>
      </c>
      <c r="F110">
        <v>425</v>
      </c>
      <c r="G110">
        <v>17303</v>
      </c>
      <c r="H110">
        <v>2023</v>
      </c>
      <c r="I110">
        <v>8</v>
      </c>
      <c r="J110" t="s">
        <v>509</v>
      </c>
      <c r="K110">
        <v>3</v>
      </c>
      <c r="L110" t="s">
        <v>22</v>
      </c>
      <c r="M110">
        <v>5</v>
      </c>
      <c r="N110" t="b">
        <v>1</v>
      </c>
      <c r="O110" t="b">
        <v>0</v>
      </c>
      <c r="P110">
        <v>-17303</v>
      </c>
    </row>
    <row r="111" spans="1:16" x14ac:dyDescent="0.3">
      <c r="A111" t="s">
        <v>1366</v>
      </c>
      <c r="B111" t="s">
        <v>1827</v>
      </c>
      <c r="C111" t="s">
        <v>1712</v>
      </c>
      <c r="D111" t="s">
        <v>1724</v>
      </c>
      <c r="E111" t="s">
        <v>35</v>
      </c>
      <c r="F111">
        <v>201</v>
      </c>
      <c r="G111">
        <v>17504</v>
      </c>
      <c r="H111">
        <v>2023</v>
      </c>
      <c r="I111">
        <v>8</v>
      </c>
      <c r="J111" t="s">
        <v>509</v>
      </c>
      <c r="K111">
        <v>3</v>
      </c>
      <c r="L111" t="s">
        <v>22</v>
      </c>
      <c r="M111">
        <v>5</v>
      </c>
      <c r="N111" t="b">
        <v>1</v>
      </c>
      <c r="O111" t="b">
        <v>0</v>
      </c>
      <c r="P111">
        <v>-17504</v>
      </c>
    </row>
    <row r="112" spans="1:16" x14ac:dyDescent="0.3">
      <c r="A112" t="s">
        <v>1382</v>
      </c>
      <c r="B112" t="s">
        <v>1828</v>
      </c>
      <c r="C112" t="s">
        <v>1720</v>
      </c>
      <c r="D112" t="s">
        <v>1713</v>
      </c>
      <c r="E112" t="s">
        <v>35</v>
      </c>
      <c r="F112">
        <v>385</v>
      </c>
      <c r="G112">
        <v>17889</v>
      </c>
      <c r="H112">
        <v>2023</v>
      </c>
      <c r="I112">
        <v>9</v>
      </c>
      <c r="J112" t="s">
        <v>581</v>
      </c>
      <c r="K112">
        <v>3</v>
      </c>
      <c r="L112" t="s">
        <v>22</v>
      </c>
      <c r="M112">
        <v>5</v>
      </c>
      <c r="N112" t="b">
        <v>1</v>
      </c>
      <c r="O112" t="b">
        <v>0</v>
      </c>
      <c r="P112">
        <v>-17889</v>
      </c>
    </row>
    <row r="113" spans="1:16" x14ac:dyDescent="0.3">
      <c r="A113" t="s">
        <v>1399</v>
      </c>
      <c r="B113" t="s">
        <v>1829</v>
      </c>
      <c r="C113" t="s">
        <v>1720</v>
      </c>
      <c r="D113" t="s">
        <v>1718</v>
      </c>
      <c r="E113" t="s">
        <v>35</v>
      </c>
      <c r="F113">
        <v>541</v>
      </c>
      <c r="G113">
        <v>18430</v>
      </c>
      <c r="H113">
        <v>2023</v>
      </c>
      <c r="I113">
        <v>9</v>
      </c>
      <c r="J113" t="s">
        <v>581</v>
      </c>
      <c r="K113">
        <v>3</v>
      </c>
      <c r="L113" t="s">
        <v>22</v>
      </c>
      <c r="M113">
        <v>5</v>
      </c>
      <c r="N113" t="b">
        <v>1</v>
      </c>
      <c r="O113" t="b">
        <v>0</v>
      </c>
      <c r="P113">
        <v>-18430</v>
      </c>
    </row>
    <row r="114" spans="1:16" x14ac:dyDescent="0.3">
      <c r="A114" t="s">
        <v>1403</v>
      </c>
      <c r="B114" t="s">
        <v>1830</v>
      </c>
      <c r="C114" t="s">
        <v>1715</v>
      </c>
      <c r="D114" t="s">
        <v>1716</v>
      </c>
      <c r="E114" t="s">
        <v>20</v>
      </c>
      <c r="F114">
        <v>486</v>
      </c>
      <c r="G114">
        <v>17944</v>
      </c>
      <c r="H114">
        <v>2023</v>
      </c>
      <c r="I114">
        <v>9</v>
      </c>
      <c r="J114" t="s">
        <v>581</v>
      </c>
      <c r="K114">
        <v>3</v>
      </c>
      <c r="L114" t="s">
        <v>28</v>
      </c>
      <c r="M114">
        <v>0</v>
      </c>
      <c r="N114" t="b">
        <v>0</v>
      </c>
      <c r="O114" t="b">
        <v>1</v>
      </c>
      <c r="P114">
        <v>-17944</v>
      </c>
    </row>
    <row r="115" spans="1:16" x14ac:dyDescent="0.3">
      <c r="A115" t="s">
        <v>1413</v>
      </c>
      <c r="B115" t="s">
        <v>1831</v>
      </c>
      <c r="C115" t="s">
        <v>1712</v>
      </c>
      <c r="D115" t="s">
        <v>1724</v>
      </c>
      <c r="E115" t="s">
        <v>35</v>
      </c>
      <c r="F115">
        <v>402</v>
      </c>
      <c r="G115">
        <v>18346</v>
      </c>
      <c r="H115">
        <v>2023</v>
      </c>
      <c r="I115">
        <v>9</v>
      </c>
      <c r="J115" t="s">
        <v>581</v>
      </c>
      <c r="K115">
        <v>3</v>
      </c>
      <c r="L115" t="s">
        <v>22</v>
      </c>
      <c r="M115">
        <v>5</v>
      </c>
      <c r="N115" t="b">
        <v>1</v>
      </c>
      <c r="O115" t="b">
        <v>0</v>
      </c>
      <c r="P115">
        <v>-18346</v>
      </c>
    </row>
    <row r="116" spans="1:16" x14ac:dyDescent="0.3">
      <c r="A116" t="s">
        <v>1428</v>
      </c>
      <c r="B116" t="s">
        <v>1832</v>
      </c>
      <c r="C116" t="s">
        <v>1723</v>
      </c>
      <c r="D116" t="s">
        <v>1718</v>
      </c>
      <c r="E116" t="s">
        <v>35</v>
      </c>
      <c r="F116">
        <v>545</v>
      </c>
      <c r="G116">
        <v>18891</v>
      </c>
      <c r="H116">
        <v>2023</v>
      </c>
      <c r="I116">
        <v>9</v>
      </c>
      <c r="J116" t="s">
        <v>581</v>
      </c>
      <c r="K116">
        <v>3</v>
      </c>
      <c r="L116" t="s">
        <v>22</v>
      </c>
      <c r="M116">
        <v>5</v>
      </c>
      <c r="N116" t="b">
        <v>1</v>
      </c>
      <c r="O116" t="b">
        <v>0</v>
      </c>
      <c r="P116">
        <v>-18891</v>
      </c>
    </row>
    <row r="117" spans="1:16" x14ac:dyDescent="0.3">
      <c r="A117" t="s">
        <v>1444</v>
      </c>
      <c r="B117" t="s">
        <v>1833</v>
      </c>
      <c r="C117" t="s">
        <v>1712</v>
      </c>
      <c r="D117" t="s">
        <v>1713</v>
      </c>
      <c r="E117" t="s">
        <v>35</v>
      </c>
      <c r="F117">
        <v>111</v>
      </c>
      <c r="G117">
        <v>19002</v>
      </c>
      <c r="H117">
        <v>2023</v>
      </c>
      <c r="I117">
        <v>9</v>
      </c>
      <c r="J117" t="s">
        <v>581</v>
      </c>
      <c r="K117">
        <v>3</v>
      </c>
      <c r="L117" t="s">
        <v>22</v>
      </c>
      <c r="M117">
        <v>5</v>
      </c>
      <c r="N117" t="b">
        <v>1</v>
      </c>
      <c r="O117" t="b">
        <v>0</v>
      </c>
      <c r="P117">
        <v>-19002</v>
      </c>
    </row>
    <row r="118" spans="1:16" x14ac:dyDescent="0.3">
      <c r="A118" t="s">
        <v>1459</v>
      </c>
      <c r="B118" t="s">
        <v>1834</v>
      </c>
      <c r="C118" t="s">
        <v>1709</v>
      </c>
      <c r="D118" t="s">
        <v>1713</v>
      </c>
      <c r="E118" t="s">
        <v>35</v>
      </c>
      <c r="F118">
        <v>567</v>
      </c>
      <c r="G118">
        <v>19569</v>
      </c>
      <c r="H118">
        <v>2023</v>
      </c>
      <c r="I118">
        <v>10</v>
      </c>
      <c r="J118" t="s">
        <v>647</v>
      </c>
      <c r="K118">
        <v>4</v>
      </c>
      <c r="L118" t="s">
        <v>22</v>
      </c>
      <c r="M118">
        <v>5</v>
      </c>
      <c r="N118" t="b">
        <v>1</v>
      </c>
      <c r="O118" t="b">
        <v>0</v>
      </c>
      <c r="P118">
        <v>-19569</v>
      </c>
    </row>
    <row r="119" spans="1:16" x14ac:dyDescent="0.3">
      <c r="A119" t="s">
        <v>1474</v>
      </c>
      <c r="B119" t="s">
        <v>1835</v>
      </c>
      <c r="C119" t="s">
        <v>1720</v>
      </c>
      <c r="D119" t="s">
        <v>1724</v>
      </c>
      <c r="E119" t="s">
        <v>35</v>
      </c>
      <c r="F119">
        <v>378</v>
      </c>
      <c r="G119">
        <v>19947</v>
      </c>
      <c r="H119">
        <v>2023</v>
      </c>
      <c r="I119">
        <v>10</v>
      </c>
      <c r="J119" t="s">
        <v>647</v>
      </c>
      <c r="K119">
        <v>4</v>
      </c>
      <c r="L119" t="s">
        <v>22</v>
      </c>
      <c r="M119">
        <v>5</v>
      </c>
      <c r="N119" t="b">
        <v>1</v>
      </c>
      <c r="O119" t="b">
        <v>0</v>
      </c>
      <c r="P119">
        <v>-19947</v>
      </c>
    </row>
    <row r="120" spans="1:16" x14ac:dyDescent="0.3">
      <c r="A120" t="s">
        <v>1478</v>
      </c>
      <c r="B120" t="s">
        <v>1836</v>
      </c>
      <c r="C120" t="s">
        <v>1715</v>
      </c>
      <c r="D120" t="s">
        <v>1716</v>
      </c>
      <c r="E120" t="s">
        <v>20</v>
      </c>
      <c r="F120">
        <v>716</v>
      </c>
      <c r="G120">
        <v>19231</v>
      </c>
      <c r="H120">
        <v>2023</v>
      </c>
      <c r="I120">
        <v>10</v>
      </c>
      <c r="J120" t="s">
        <v>647</v>
      </c>
      <c r="K120">
        <v>4</v>
      </c>
      <c r="L120" t="s">
        <v>28</v>
      </c>
      <c r="M120">
        <v>0</v>
      </c>
      <c r="N120" t="b">
        <v>0</v>
      </c>
      <c r="O120" t="b">
        <v>1</v>
      </c>
      <c r="P120">
        <v>-19231</v>
      </c>
    </row>
    <row r="121" spans="1:16" x14ac:dyDescent="0.3">
      <c r="A121" t="s">
        <v>1489</v>
      </c>
      <c r="B121" t="s">
        <v>1837</v>
      </c>
      <c r="C121" t="s">
        <v>1720</v>
      </c>
      <c r="D121" t="s">
        <v>1713</v>
      </c>
      <c r="E121" t="s">
        <v>35</v>
      </c>
      <c r="F121">
        <v>567</v>
      </c>
      <c r="G121">
        <v>19798</v>
      </c>
      <c r="H121">
        <v>2023</v>
      </c>
      <c r="I121">
        <v>10</v>
      </c>
      <c r="J121" t="s">
        <v>647</v>
      </c>
      <c r="K121">
        <v>4</v>
      </c>
      <c r="L121" t="s">
        <v>22</v>
      </c>
      <c r="M121">
        <v>5</v>
      </c>
      <c r="N121" t="b">
        <v>1</v>
      </c>
      <c r="O121" t="b">
        <v>0</v>
      </c>
      <c r="P121">
        <v>-19798</v>
      </c>
    </row>
    <row r="122" spans="1:16" x14ac:dyDescent="0.3">
      <c r="A122" t="s">
        <v>1505</v>
      </c>
      <c r="B122" t="s">
        <v>1838</v>
      </c>
      <c r="C122" t="s">
        <v>1723</v>
      </c>
      <c r="D122" t="s">
        <v>1718</v>
      </c>
      <c r="E122" t="s">
        <v>35</v>
      </c>
      <c r="F122">
        <v>220</v>
      </c>
      <c r="G122">
        <v>20018</v>
      </c>
      <c r="H122">
        <v>2023</v>
      </c>
      <c r="I122">
        <v>10</v>
      </c>
      <c r="J122" t="s">
        <v>647</v>
      </c>
      <c r="K122">
        <v>4</v>
      </c>
      <c r="L122" t="s">
        <v>22</v>
      </c>
      <c r="M122">
        <v>5</v>
      </c>
      <c r="N122" t="b">
        <v>1</v>
      </c>
      <c r="O122" t="b">
        <v>0</v>
      </c>
      <c r="P122">
        <v>-20018</v>
      </c>
    </row>
    <row r="123" spans="1:16" x14ac:dyDescent="0.3">
      <c r="A123" t="s">
        <v>1510</v>
      </c>
      <c r="B123" t="s">
        <v>1839</v>
      </c>
      <c r="C123" t="s">
        <v>1715</v>
      </c>
      <c r="D123" t="s">
        <v>1716</v>
      </c>
      <c r="E123" t="s">
        <v>20</v>
      </c>
      <c r="F123">
        <v>605</v>
      </c>
      <c r="G123">
        <v>19413</v>
      </c>
      <c r="H123">
        <v>2023</v>
      </c>
      <c r="I123">
        <v>10</v>
      </c>
      <c r="J123" t="s">
        <v>647</v>
      </c>
      <c r="K123">
        <v>4</v>
      </c>
      <c r="L123" t="s">
        <v>28</v>
      </c>
      <c r="M123">
        <v>0</v>
      </c>
      <c r="N123" t="b">
        <v>0</v>
      </c>
      <c r="O123" t="b">
        <v>1</v>
      </c>
      <c r="P123">
        <v>-19413</v>
      </c>
    </row>
    <row r="124" spans="1:16" x14ac:dyDescent="0.3">
      <c r="A124" t="s">
        <v>1520</v>
      </c>
      <c r="B124" t="s">
        <v>1840</v>
      </c>
      <c r="C124" t="s">
        <v>1720</v>
      </c>
      <c r="D124" t="s">
        <v>1724</v>
      </c>
      <c r="E124" t="s">
        <v>35</v>
      </c>
      <c r="F124">
        <v>565</v>
      </c>
      <c r="G124">
        <v>19978</v>
      </c>
      <c r="H124">
        <v>2023</v>
      </c>
      <c r="I124">
        <v>11</v>
      </c>
      <c r="J124" t="s">
        <v>714</v>
      </c>
      <c r="K124">
        <v>4</v>
      </c>
      <c r="L124" t="s">
        <v>22</v>
      </c>
      <c r="M124">
        <v>5</v>
      </c>
      <c r="N124" t="b">
        <v>1</v>
      </c>
      <c r="O124" t="b">
        <v>0</v>
      </c>
      <c r="P124">
        <v>-19978</v>
      </c>
    </row>
    <row r="125" spans="1:16" x14ac:dyDescent="0.3">
      <c r="A125" t="s">
        <v>1537</v>
      </c>
      <c r="B125" t="s">
        <v>1841</v>
      </c>
      <c r="C125" t="s">
        <v>1720</v>
      </c>
      <c r="D125" t="s">
        <v>1710</v>
      </c>
      <c r="E125" t="s">
        <v>35</v>
      </c>
      <c r="F125">
        <v>371</v>
      </c>
      <c r="G125">
        <v>20349</v>
      </c>
      <c r="H125">
        <v>2023</v>
      </c>
      <c r="I125">
        <v>11</v>
      </c>
      <c r="J125" t="s">
        <v>714</v>
      </c>
      <c r="K125">
        <v>4</v>
      </c>
      <c r="L125" t="s">
        <v>22</v>
      </c>
      <c r="M125">
        <v>5</v>
      </c>
      <c r="N125" t="b">
        <v>1</v>
      </c>
      <c r="O125" t="b">
        <v>0</v>
      </c>
      <c r="P125">
        <v>-20349</v>
      </c>
    </row>
    <row r="126" spans="1:16" x14ac:dyDescent="0.3">
      <c r="A126" t="s">
        <v>1541</v>
      </c>
      <c r="B126" t="s">
        <v>1842</v>
      </c>
      <c r="C126" t="s">
        <v>1715</v>
      </c>
      <c r="D126" t="s">
        <v>1716</v>
      </c>
      <c r="E126" t="s">
        <v>20</v>
      </c>
      <c r="F126">
        <v>708</v>
      </c>
      <c r="G126">
        <v>19641</v>
      </c>
      <c r="H126">
        <v>2023</v>
      </c>
      <c r="I126">
        <v>11</v>
      </c>
      <c r="J126" t="s">
        <v>714</v>
      </c>
      <c r="K126">
        <v>4</v>
      </c>
      <c r="L126" t="s">
        <v>28</v>
      </c>
      <c r="M126">
        <v>0</v>
      </c>
      <c r="N126" t="b">
        <v>0</v>
      </c>
      <c r="O126" t="b">
        <v>1</v>
      </c>
      <c r="P126">
        <v>-19641</v>
      </c>
    </row>
    <row r="127" spans="1:16" x14ac:dyDescent="0.3">
      <c r="A127" t="s">
        <v>1553</v>
      </c>
      <c r="B127" t="s">
        <v>1843</v>
      </c>
      <c r="C127" t="s">
        <v>1720</v>
      </c>
      <c r="D127" t="s">
        <v>1718</v>
      </c>
      <c r="E127" t="s">
        <v>35</v>
      </c>
      <c r="F127">
        <v>241</v>
      </c>
      <c r="G127">
        <v>19882</v>
      </c>
      <c r="H127">
        <v>2023</v>
      </c>
      <c r="I127">
        <v>11</v>
      </c>
      <c r="J127" t="s">
        <v>714</v>
      </c>
      <c r="K127">
        <v>4</v>
      </c>
      <c r="L127" t="s">
        <v>22</v>
      </c>
      <c r="M127">
        <v>5</v>
      </c>
      <c r="N127" t="b">
        <v>1</v>
      </c>
      <c r="O127" t="b">
        <v>0</v>
      </c>
      <c r="P127">
        <v>-19882</v>
      </c>
    </row>
    <row r="128" spans="1:16" x14ac:dyDescent="0.3">
      <c r="A128" t="s">
        <v>1557</v>
      </c>
      <c r="B128" t="s">
        <v>1844</v>
      </c>
      <c r="C128" t="s">
        <v>1715</v>
      </c>
      <c r="D128" t="s">
        <v>1716</v>
      </c>
      <c r="E128" t="s">
        <v>20</v>
      </c>
      <c r="F128">
        <v>777</v>
      </c>
      <c r="G128">
        <v>19105</v>
      </c>
      <c r="H128">
        <v>2023</v>
      </c>
      <c r="I128">
        <v>11</v>
      </c>
      <c r="J128" t="s">
        <v>714</v>
      </c>
      <c r="K128">
        <v>4</v>
      </c>
      <c r="L128" t="s">
        <v>28</v>
      </c>
      <c r="M128">
        <v>0</v>
      </c>
      <c r="N128" t="b">
        <v>0</v>
      </c>
      <c r="O128" t="b">
        <v>1</v>
      </c>
      <c r="P128">
        <v>-19105</v>
      </c>
    </row>
    <row r="129" spans="1:16" x14ac:dyDescent="0.3">
      <c r="A129" t="s">
        <v>1567</v>
      </c>
      <c r="B129" t="s">
        <v>1845</v>
      </c>
      <c r="C129" t="s">
        <v>1712</v>
      </c>
      <c r="D129" t="s">
        <v>1710</v>
      </c>
      <c r="E129" t="s">
        <v>35</v>
      </c>
      <c r="F129">
        <v>460</v>
      </c>
      <c r="G129">
        <v>19565</v>
      </c>
      <c r="H129">
        <v>2023</v>
      </c>
      <c r="I129">
        <v>11</v>
      </c>
      <c r="J129" t="s">
        <v>714</v>
      </c>
      <c r="K129">
        <v>4</v>
      </c>
      <c r="L129" t="s">
        <v>22</v>
      </c>
      <c r="M129">
        <v>5</v>
      </c>
      <c r="N129" t="b">
        <v>1</v>
      </c>
      <c r="O129" t="b">
        <v>0</v>
      </c>
      <c r="P129">
        <v>-19565</v>
      </c>
    </row>
    <row r="130" spans="1:16" x14ac:dyDescent="0.3">
      <c r="A130" t="s">
        <v>1585</v>
      </c>
      <c r="B130" t="s">
        <v>1846</v>
      </c>
      <c r="C130" t="s">
        <v>1712</v>
      </c>
      <c r="D130" t="s">
        <v>1724</v>
      </c>
      <c r="E130" t="s">
        <v>35</v>
      </c>
      <c r="F130">
        <v>556</v>
      </c>
      <c r="G130">
        <v>20121</v>
      </c>
      <c r="H130">
        <v>2023</v>
      </c>
      <c r="I130">
        <v>12</v>
      </c>
      <c r="J130" t="s">
        <v>783</v>
      </c>
      <c r="K130">
        <v>4</v>
      </c>
      <c r="L130" t="s">
        <v>22</v>
      </c>
      <c r="M130">
        <v>5</v>
      </c>
      <c r="N130" t="b">
        <v>1</v>
      </c>
      <c r="O130" t="b">
        <v>0</v>
      </c>
      <c r="P130">
        <v>-20121</v>
      </c>
    </row>
    <row r="131" spans="1:16" x14ac:dyDescent="0.3">
      <c r="A131" t="s">
        <v>1600</v>
      </c>
      <c r="B131" t="s">
        <v>1847</v>
      </c>
      <c r="C131" t="s">
        <v>1709</v>
      </c>
      <c r="D131" t="s">
        <v>1710</v>
      </c>
      <c r="E131" t="s">
        <v>35</v>
      </c>
      <c r="F131">
        <v>289</v>
      </c>
      <c r="G131">
        <v>20410</v>
      </c>
      <c r="H131">
        <v>2023</v>
      </c>
      <c r="I131">
        <v>12</v>
      </c>
      <c r="J131" t="s">
        <v>783</v>
      </c>
      <c r="K131">
        <v>4</v>
      </c>
      <c r="L131" t="s">
        <v>22</v>
      </c>
      <c r="M131">
        <v>5</v>
      </c>
      <c r="N131" t="b">
        <v>1</v>
      </c>
      <c r="O131" t="b">
        <v>0</v>
      </c>
      <c r="P131">
        <v>-20410</v>
      </c>
    </row>
    <row r="132" spans="1:16" x14ac:dyDescent="0.3">
      <c r="A132" t="s">
        <v>1615</v>
      </c>
      <c r="B132" t="s">
        <v>1848</v>
      </c>
      <c r="C132" t="s">
        <v>1723</v>
      </c>
      <c r="D132" t="s">
        <v>1724</v>
      </c>
      <c r="E132" t="s">
        <v>35</v>
      </c>
      <c r="F132">
        <v>410</v>
      </c>
      <c r="G132">
        <v>20820</v>
      </c>
      <c r="H132">
        <v>2023</v>
      </c>
      <c r="I132">
        <v>12</v>
      </c>
      <c r="J132" t="s">
        <v>783</v>
      </c>
      <c r="K132">
        <v>4</v>
      </c>
      <c r="L132" t="s">
        <v>22</v>
      </c>
      <c r="M132">
        <v>5</v>
      </c>
      <c r="N132" t="b">
        <v>1</v>
      </c>
      <c r="O132" t="b">
        <v>0</v>
      </c>
      <c r="P132">
        <v>-20820</v>
      </c>
    </row>
    <row r="133" spans="1:16" x14ac:dyDescent="0.3">
      <c r="A133" t="s">
        <v>1632</v>
      </c>
      <c r="B133" t="s">
        <v>1849</v>
      </c>
      <c r="C133" t="s">
        <v>1723</v>
      </c>
      <c r="D133" t="s">
        <v>1713</v>
      </c>
      <c r="E133" t="s">
        <v>35</v>
      </c>
      <c r="F133">
        <v>242</v>
      </c>
      <c r="G133">
        <v>21062</v>
      </c>
      <c r="H133">
        <v>2023</v>
      </c>
      <c r="I133">
        <v>12</v>
      </c>
      <c r="J133" t="s">
        <v>783</v>
      </c>
      <c r="K133">
        <v>4</v>
      </c>
      <c r="L133" t="s">
        <v>22</v>
      </c>
      <c r="M133">
        <v>5</v>
      </c>
      <c r="N133" t="b">
        <v>1</v>
      </c>
      <c r="O133" t="b">
        <v>0</v>
      </c>
      <c r="P133">
        <v>-21062</v>
      </c>
    </row>
    <row r="134" spans="1:16" x14ac:dyDescent="0.3">
      <c r="A134" t="s">
        <v>1649</v>
      </c>
      <c r="B134" t="s">
        <v>1850</v>
      </c>
      <c r="C134" t="s">
        <v>1720</v>
      </c>
      <c r="D134" t="s">
        <v>1724</v>
      </c>
      <c r="E134" t="s">
        <v>35</v>
      </c>
      <c r="F134">
        <v>589</v>
      </c>
      <c r="G134">
        <v>21651</v>
      </c>
      <c r="H134">
        <v>2023</v>
      </c>
      <c r="I134">
        <v>12</v>
      </c>
      <c r="J134" t="s">
        <v>783</v>
      </c>
      <c r="K134">
        <v>4</v>
      </c>
      <c r="L134" t="s">
        <v>22</v>
      </c>
      <c r="M134">
        <v>5</v>
      </c>
      <c r="N134" t="b">
        <v>1</v>
      </c>
      <c r="O134" t="b">
        <v>0</v>
      </c>
      <c r="P134">
        <v>-21651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4.4" x14ac:dyDescent="0.3"/>
  <sheetData>
    <row r="1" spans="1:2" x14ac:dyDescent="0.3">
      <c r="A1" t="s">
        <v>1874</v>
      </c>
      <c r="B1" t="s">
        <v>1875</v>
      </c>
    </row>
    <row r="2" spans="1:2" x14ac:dyDescent="0.3">
      <c r="A2" t="s">
        <v>1876</v>
      </c>
    </row>
    <row r="3" spans="1:2" x14ac:dyDescent="0.3">
      <c r="A3" t="s">
        <v>1877</v>
      </c>
      <c r="B3" t="s">
        <v>1878</v>
      </c>
    </row>
    <row r="4" spans="1:2" x14ac:dyDescent="0.3">
      <c r="A4" t="s">
        <v>1879</v>
      </c>
      <c r="B4" t="s">
        <v>1880</v>
      </c>
    </row>
    <row r="5" spans="1:2" x14ac:dyDescent="0.3">
      <c r="A5" t="s">
        <v>1881</v>
      </c>
      <c r="B5" t="s">
        <v>1882</v>
      </c>
    </row>
    <row r="6" spans="1:2" x14ac:dyDescent="0.3">
      <c r="A6" t="s">
        <v>1883</v>
      </c>
      <c r="B6" t="s">
        <v>1884</v>
      </c>
    </row>
    <row r="7" spans="1:2" x14ac:dyDescent="0.3">
      <c r="A7" t="s">
        <v>1885</v>
      </c>
    </row>
    <row r="8" spans="1:2" x14ac:dyDescent="0.3">
      <c r="A8" t="s">
        <v>1886</v>
      </c>
      <c r="B8" t="s">
        <v>1887</v>
      </c>
    </row>
    <row r="9" spans="1:2" x14ac:dyDescent="0.3">
      <c r="A9" t="s">
        <v>1888</v>
      </c>
      <c r="B9" t="s">
        <v>1889</v>
      </c>
    </row>
    <row r="10" spans="1:2" x14ac:dyDescent="0.3">
      <c r="A10" t="s">
        <v>1890</v>
      </c>
      <c r="B10" t="s">
        <v>1891</v>
      </c>
    </row>
    <row r="11" spans="1:2" x14ac:dyDescent="0.3">
      <c r="A11" t="s">
        <v>1883</v>
      </c>
      <c r="B11" t="s">
        <v>1892</v>
      </c>
    </row>
    <row r="12" spans="1:2" x14ac:dyDescent="0.3">
      <c r="A12" t="s">
        <v>1893</v>
      </c>
    </row>
    <row r="13" spans="1:2" x14ac:dyDescent="0.3">
      <c r="A13" t="s">
        <v>1894</v>
      </c>
      <c r="B13" t="s">
        <v>1895</v>
      </c>
    </row>
    <row r="14" spans="1:2" x14ac:dyDescent="0.3">
      <c r="A14" t="s">
        <v>1896</v>
      </c>
      <c r="B14" t="s">
        <v>1897</v>
      </c>
    </row>
    <row r="15" spans="1:2" x14ac:dyDescent="0.3">
      <c r="A15" t="s">
        <v>1898</v>
      </c>
      <c r="B15" t="s">
        <v>1899</v>
      </c>
    </row>
    <row r="16" spans="1:2" x14ac:dyDescent="0.3">
      <c r="A16" t="s">
        <v>1900</v>
      </c>
      <c r="B16" t="s">
        <v>1901</v>
      </c>
    </row>
    <row r="17" spans="1:2" x14ac:dyDescent="0.3">
      <c r="A17" t="s">
        <v>1902</v>
      </c>
    </row>
    <row r="18" spans="1:2" x14ac:dyDescent="0.3">
      <c r="A18" t="s">
        <v>1903</v>
      </c>
      <c r="B18" t="s">
        <v>1904</v>
      </c>
    </row>
    <row r="19" spans="1:2" x14ac:dyDescent="0.3">
      <c r="A19" t="s">
        <v>1905</v>
      </c>
      <c r="B19" t="s">
        <v>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Основной счет</vt:lpstr>
      <vt:lpstr>Расчеты_основной</vt:lpstr>
      <vt:lpstr>Расчеты_второй</vt:lpstr>
      <vt:lpstr>Рассчеты_зп</vt:lpstr>
      <vt:lpstr>Расчеты_кредитка</vt:lpstr>
      <vt:lpstr>Второй счет</vt:lpstr>
      <vt:lpstr>Зарплаты</vt:lpstr>
      <vt:lpstr>Кредитная карта</vt:lpstr>
      <vt:lpstr>Статистика</vt:lpstr>
      <vt:lpstr>'Основной счет'!Данные_Основной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Диана Кудрявцева</cp:lastModifiedBy>
  <dcterms:created xsi:type="dcterms:W3CDTF">2026-08-29T09:25:27Z</dcterms:created>
  <dcterms:modified xsi:type="dcterms:W3CDTF">2026-09-06T18:32:54Z</dcterms:modified>
</cp:coreProperties>
</file>